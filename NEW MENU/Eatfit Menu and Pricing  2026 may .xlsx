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L1326\Downloads\"/>
    </mc:Choice>
  </mc:AlternateContent>
  <xr:revisionPtr revIDLastSave="0" documentId="8_{1BDD6029-3E42-4EF9-A247-4C4F7DDA796B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Pricing " sheetId="2" state="hidden" r:id="rId1"/>
    <sheet name="P&amp;L Forecast" sheetId="3" state="hidden" r:id="rId2"/>
    <sheet name="Pricing with 20% PM" sheetId="4" state="hidden" r:id="rId3"/>
    <sheet name="Sheet1" sheetId="23" r:id="rId4"/>
    <sheet name="offers" sheetId="9" state="hidden" r:id="rId5"/>
    <sheet name="Employee food" sheetId="10" state="hidden" r:id="rId6"/>
    <sheet name="Uber Eats and PM Menu" sheetId="22" state="hidden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/>
  <c r="E2" i="9"/>
  <c r="C5" i="3"/>
  <c r="C21" i="4"/>
  <c r="C11" i="4"/>
  <c r="C9" i="4"/>
  <c r="C8" i="4"/>
  <c r="C17" i="3"/>
  <c r="C13" i="3"/>
  <c r="C10" i="3"/>
  <c r="C9" i="3"/>
  <c r="C14" i="3" s="1"/>
  <c r="C6" i="3"/>
  <c r="C3" i="3"/>
  <c r="C2" i="3"/>
  <c r="C7" i="3" s="1"/>
  <c r="F31" i="2"/>
  <c r="F30" i="2"/>
  <c r="F29" i="2"/>
  <c r="F28" i="2"/>
  <c r="F27" i="2"/>
  <c r="N21" i="2"/>
  <c r="F21" i="2"/>
  <c r="N20" i="2"/>
  <c r="F20" i="2"/>
  <c r="N19" i="2"/>
  <c r="F19" i="2"/>
  <c r="N18" i="2"/>
  <c r="F18" i="2"/>
  <c r="N17" i="2"/>
  <c r="F17" i="2"/>
  <c r="N16" i="2"/>
  <c r="F16" i="2"/>
  <c r="N15" i="2"/>
  <c r="F15" i="2"/>
  <c r="N14" i="2"/>
  <c r="F14" i="2"/>
  <c r="N13" i="2"/>
  <c r="F13" i="2"/>
  <c r="N12" i="2"/>
  <c r="F12" i="2"/>
  <c r="N11" i="2"/>
  <c r="F11" i="2"/>
  <c r="N10" i="2"/>
  <c r="F10" i="2"/>
  <c r="N9" i="2"/>
  <c r="F9" i="2"/>
  <c r="N8" i="2"/>
  <c r="F8" i="2"/>
  <c r="N7" i="2"/>
  <c r="F7" i="2"/>
  <c r="N6" i="2"/>
  <c r="F6" i="2"/>
  <c r="N5" i="2"/>
  <c r="F5" i="2"/>
  <c r="N4" i="2"/>
  <c r="F4" i="2"/>
  <c r="C16" i="3" l="1"/>
  <c r="C20" i="3" s="1"/>
  <c r="C10" i="4"/>
  <c r="C20" i="4"/>
  <c r="C7" i="4"/>
  <c r="C19" i="4"/>
  <c r="C6" i="4"/>
  <c r="C18" i="4"/>
  <c r="C5" i="4"/>
  <c r="C4" i="4"/>
  <c r="C17" i="4"/>
  <c r="C16" i="4"/>
  <c r="C15" i="4"/>
  <c r="C14" i="4"/>
  <c r="C12" i="4"/>
  <c r="C13" i="4"/>
  <c r="C4" i="3"/>
  <c r="B2" i="9" l="1"/>
  <c r="C12" i="3" l="1"/>
  <c r="C11" i="3"/>
</calcChain>
</file>

<file path=xl/sharedStrings.xml><?xml version="1.0" encoding="utf-8"?>
<sst xmlns="http://schemas.openxmlformats.org/spreadsheetml/2006/main" count="577" uniqueCount="301">
  <si>
    <t>Weight Gain</t>
  </si>
  <si>
    <t>Weight Loss</t>
  </si>
  <si>
    <t>Menu Category</t>
  </si>
  <si>
    <t>Item</t>
  </si>
  <si>
    <t>Ingredient Cost (LKR)</t>
  </si>
  <si>
    <t>Packaging &amp; Overhead Cost (LKR)</t>
  </si>
  <si>
    <t>Selling Price (LKR)</t>
  </si>
  <si>
    <t>Snacks</t>
  </si>
  <si>
    <t>Oatmeal with Nuts &amp; Banana</t>
  </si>
  <si>
    <t>Scrambled Eggs with Spinach &amp; Tomatoes</t>
  </si>
  <si>
    <t>Egg &amp; Avocado Toast with Spinach</t>
  </si>
  <si>
    <t>Chicken &amp; Avocado Breakfast Wrap</t>
  </si>
  <si>
    <t>Smoothie Bowl with Seeds &amp; Banana</t>
  </si>
  <si>
    <t>Beef &amp; Veggie Omelet</t>
  </si>
  <si>
    <t>Vegetable Scrambled Eggs with Whole Wheat/Brown Bread</t>
  </si>
  <si>
    <t>Vegetable Stir-Fry with Scrambled Eggs</t>
  </si>
  <si>
    <t>Mains</t>
  </si>
  <si>
    <t>Mixed Vegetable &amp; Chickpea Curry with Rice</t>
  </si>
  <si>
    <t>Beef/Chicken &amp; Brown/White Rice Bowl</t>
  </si>
  <si>
    <t>Mashed Potatoes with Stir-Fried Vegetables &amp; Beans</t>
  </si>
  <si>
    <t>Lemon Herb Chicken &amp; Cauliflower Rice Bowl</t>
  </si>
  <si>
    <t>Pasta with Chicken/Beef/Egg &amp; Broccoli</t>
  </si>
  <si>
    <t>Noodles with Ground Beef/Chicken/Egg</t>
  </si>
  <si>
    <t>Rice &amp; Beef/Chicken Stir-Fry/Eggs with Vegetables</t>
  </si>
  <si>
    <t>Chicken &amp; Veggie Stir-Fry with Scrambled Eggs</t>
  </si>
  <si>
    <t>Minced Beef &amp; Green Beans Rice Bowl</t>
  </si>
  <si>
    <t>Baked Chicken/Mexican Beef &amp; Roasted Veggie Bowl</t>
  </si>
  <si>
    <t>Chicken Teriyaki/Butter Chicken Bowl</t>
  </si>
  <si>
    <t>Cheese Burger Bowl</t>
  </si>
  <si>
    <t>Chicken / Veggie Burger Bowl</t>
  </si>
  <si>
    <t>Chicken Burger Bowl</t>
  </si>
  <si>
    <t>Egg &amp; Veggie Wrap</t>
  </si>
  <si>
    <t>Mashed Potatoes with Stir-Fried Vegetables &amp; Chicken/Beef/Egg</t>
  </si>
  <si>
    <t>Veggie &amp; Lentil Rice Bowl</t>
  </si>
  <si>
    <t>Shakes</t>
  </si>
  <si>
    <t>Peanut Butter Banana Protein Shake</t>
  </si>
  <si>
    <t>Chocolate Almond Protein Shake</t>
  </si>
  <si>
    <t>Oats &amp; Chocolate Protein Shake</t>
  </si>
  <si>
    <t>Coffee Protein Shake</t>
  </si>
  <si>
    <t>Banana-Peanut Butter Shake</t>
  </si>
  <si>
    <t>Cucumber &amp; Pineapple Detox Shake</t>
  </si>
  <si>
    <t>Mango-Avocado Smoothie</t>
  </si>
  <si>
    <t>Watermelon Mint Shake</t>
  </si>
  <si>
    <t>Pineapple-Oat Shake</t>
  </si>
  <si>
    <t>Papaya &amp; Lime Shake</t>
  </si>
  <si>
    <t>Deserts</t>
  </si>
  <si>
    <t>Ingredient Cost</t>
  </si>
  <si>
    <t>Packaging &amp; Overheads</t>
  </si>
  <si>
    <t>Greek Yogurt with Banana &amp; Chia Seeds</t>
  </si>
  <si>
    <t>Chia Seeds Pudding</t>
  </si>
  <si>
    <t>Protein Pancakes</t>
  </si>
  <si>
    <t>Nut Balls</t>
  </si>
  <si>
    <t>Protein Ice Cream</t>
  </si>
  <si>
    <t xml:space="preserve">Fixed Cost Earnings </t>
  </si>
  <si>
    <t>Wraps</t>
  </si>
  <si>
    <t>Cheat Meals</t>
  </si>
  <si>
    <t xml:space="preserve">Gross Profit </t>
  </si>
  <si>
    <t xml:space="preserve">Gross Earnings </t>
  </si>
  <si>
    <t>Fixed Costs</t>
  </si>
  <si>
    <t xml:space="preserve">Marketing </t>
  </si>
  <si>
    <t xml:space="preserve">Waste </t>
  </si>
  <si>
    <t>Gross Profit</t>
  </si>
  <si>
    <t>Wight Gain</t>
  </si>
  <si>
    <t>Packaging &amp; Overheads (LKR)</t>
  </si>
  <si>
    <t>Total Cost (LKR)</t>
  </si>
  <si>
    <t>Final Selling Price (LKR)</t>
  </si>
  <si>
    <t>Cost</t>
  </si>
  <si>
    <t>Web Pricing</t>
  </si>
  <si>
    <t xml:space="preserve">Web Rounded </t>
  </si>
  <si>
    <t>Web Rounded</t>
  </si>
  <si>
    <t>Egg &amp; Avocado Toast</t>
  </si>
  <si>
    <t>Seeds &amp; Banana Smoothie Bowl</t>
  </si>
  <si>
    <t xml:space="preserve">Scrambled Eggs with Stir-Fry Vegetable </t>
  </si>
  <si>
    <t>Vegetable Scrambled Eggs with Brown Bread</t>
  </si>
  <si>
    <t>Chickpea Curry with Rice</t>
  </si>
  <si>
    <t xml:space="preserve">Minced Beef Noodles </t>
  </si>
  <si>
    <t>Mashed Potatoes with Stir-Fried Vegetables</t>
  </si>
  <si>
    <t xml:space="preserve">Minced Chicken Noodles </t>
  </si>
  <si>
    <t>Chicken Pasta</t>
  </si>
  <si>
    <t>Scrambled Eggs with Chicken &amp; Vegetable Stir-Fry</t>
  </si>
  <si>
    <t>Beef Pasta</t>
  </si>
  <si>
    <t>Mexican Chicken Bowl</t>
  </si>
  <si>
    <t>Beef Rice Bowl</t>
  </si>
  <si>
    <t>Mexican Beef Bowl</t>
  </si>
  <si>
    <t>Chicken Rice Bowl</t>
  </si>
  <si>
    <t xml:space="preserve">Beef Burger Diet Bowl </t>
  </si>
  <si>
    <t>Minced Beef Rice Bowl</t>
  </si>
  <si>
    <t xml:space="preserve">Veggie Burger Diet  Bowl </t>
  </si>
  <si>
    <t>Chicken Teriyaki Bowl</t>
  </si>
  <si>
    <t xml:space="preserve">Chicken Burger Diet Bowl </t>
  </si>
  <si>
    <t>Butter Chicken Bowl</t>
  </si>
  <si>
    <t>Chickpea Curry Rice Bowl</t>
  </si>
  <si>
    <t>Beef Burger Bowl</t>
  </si>
  <si>
    <t>Chocolate Protein Shake</t>
  </si>
  <si>
    <t>Chicken with Mashed-Potatoes</t>
  </si>
  <si>
    <t>Mint and Watermelon Detox Shake</t>
  </si>
  <si>
    <t>Beef with Mashed_Potatoes</t>
  </si>
  <si>
    <t xml:space="preserve">Lime and Papaya Detox </t>
  </si>
  <si>
    <t>Peanut Butter and Banana Protein Shake</t>
  </si>
  <si>
    <t>Cucumber Mint Lime Cooler</t>
  </si>
  <si>
    <t>Oats and Chocolate Protein Shake</t>
  </si>
  <si>
    <t xml:space="preserve">Chicken Sandwitch </t>
  </si>
  <si>
    <t>Peanut Butter- Banana Shake</t>
  </si>
  <si>
    <t>hot garlic chicken Rice bowl</t>
  </si>
  <si>
    <t>Spicy Creamy Pasta</t>
  </si>
  <si>
    <t>Mango - Banana Smoothie</t>
  </si>
  <si>
    <t xml:space="preserve">Beef Sandwitch </t>
  </si>
  <si>
    <t>Grilled Chicken Rice Bowl</t>
  </si>
  <si>
    <t>Sweet Lassie</t>
  </si>
  <si>
    <t>Chicken Protein Wrap</t>
  </si>
  <si>
    <t>Beef Protein Wrap</t>
  </si>
  <si>
    <t xml:space="preserve">Cheat Meal </t>
  </si>
  <si>
    <t>Crispy Chicken Pasta</t>
  </si>
  <si>
    <t xml:space="preserve">Cripsy Chicken Pasta Budget </t>
  </si>
  <si>
    <t>Crispy Chicken Fried Rice</t>
  </si>
  <si>
    <t>Cripsy Chicken Fried Rice Budget</t>
  </si>
  <si>
    <t>Chilli chicken Fried Rice</t>
  </si>
  <si>
    <t xml:space="preserve">Mixed Chicken Fried Rice </t>
  </si>
  <si>
    <t xml:space="preserve">Protein Kottu </t>
  </si>
  <si>
    <t>Chicken protein kottu</t>
  </si>
  <si>
    <t xml:space="preserve">Vegitable Protien Kottu </t>
  </si>
  <si>
    <t>Beef protein kottu</t>
  </si>
  <si>
    <t>Salads</t>
  </si>
  <si>
    <t>Beef Steak &amp; Egg Power Bowl</t>
  </si>
  <si>
    <t>Protein Coleslaw Bowl</t>
  </si>
  <si>
    <t>Chickpea Salad Bowl</t>
  </si>
  <si>
    <t>Stir-Fried Chicken &amp; Kankung Salad</t>
  </si>
  <si>
    <t>Spicy Grilled Chicken &amp; Cucumber Salad</t>
  </si>
  <si>
    <t xml:space="preserve">caesar salad </t>
  </si>
  <si>
    <t>Lean Chicken Salad Toast</t>
  </si>
  <si>
    <t>Wellness Detox</t>
  </si>
  <si>
    <t>Carrot Detox</t>
  </si>
  <si>
    <t>Narang Detox</t>
  </si>
  <si>
    <t xml:space="preserve">Hot Chococlate </t>
  </si>
  <si>
    <t>Lime Juice</t>
  </si>
  <si>
    <t>Watermelon Juice</t>
  </si>
  <si>
    <t>Creamy Garlic eggs rice bowl</t>
  </si>
  <si>
    <t>Crispy Chicken</t>
  </si>
  <si>
    <t>3Pc</t>
  </si>
  <si>
    <t>6Pc</t>
  </si>
  <si>
    <t>8Pc</t>
  </si>
  <si>
    <t>Grilled Chicken</t>
  </si>
  <si>
    <t xml:space="preserve">Item Name </t>
  </si>
  <si>
    <t xml:space="preserve">Price </t>
  </si>
  <si>
    <t>Offer Value</t>
  </si>
  <si>
    <t>Earnings Post Comission</t>
  </si>
  <si>
    <t xml:space="preserve">Profit/Loss per comission </t>
  </si>
  <si>
    <t xml:space="preserve">Chirispy Chicken </t>
  </si>
  <si>
    <t>🍛 Menu 1: Classic Chicken Curry Plate</t>
  </si>
  <si>
    <t>Description</t>
  </si>
  <si>
    <t>Quantity per person</t>
  </si>
  <si>
    <t>Steamed Red Rice</t>
  </si>
  <si>
    <t>Cooked red rice</t>
  </si>
  <si>
    <t>300g cooked (150g raw)</t>
  </si>
  <si>
    <t>Tempered Green Beans</t>
  </si>
  <si>
    <t>Sautéed with onion &amp; mustard seeds</t>
  </si>
  <si>
    <t>120g cooked</t>
  </si>
  <si>
    <t>Thick Dhal Curry</t>
  </si>
  <si>
    <t>Yellow lentils, thick consistency</t>
  </si>
  <si>
    <t>180ml</t>
  </si>
  <si>
    <t>Chicken Curry</t>
  </si>
  <si>
    <t>Boneless chicken with mild spices</t>
  </si>
  <si>
    <t>180g cooked (220g raw)</t>
  </si>
  <si>
    <t>🌱 Menu 2: Pumpkin &amp; Sprout Power Bowl (Vegan)</t>
  </si>
  <si>
    <t>Steamed White Rice</t>
  </si>
  <si>
    <t>Medium-grain white rice</t>
  </si>
  <si>
    <t>Mild Curried Pumpkin</t>
  </si>
  <si>
    <t>Lightly spiced, cooked with coconut milk</t>
  </si>
  <si>
    <t>130g cooked</t>
  </si>
  <si>
    <t>Yellow Dhal Curry</t>
  </si>
  <si>
    <t>Smooth, turmeric-flavored lentils</t>
  </si>
  <si>
    <t>200ml</t>
  </si>
  <si>
    <t>Spicy Moong Sprouts Stir-fry</t>
  </si>
  <si>
    <t>High-protein sprouts with spices</t>
  </si>
  <si>
    <t>150g cooked</t>
  </si>
  <si>
    <t>🍽️ Menu 3: Balanced Chicken &amp; Beetroot Bowl</t>
  </si>
  <si>
    <t>Steamed Basmati Rice</t>
  </si>
  <si>
    <t>Fragrant long grain rice</t>
  </si>
  <si>
    <t>Sauteed Beetroot</t>
  </si>
  <si>
    <t>Grated or diced, sautéed with garlic</t>
  </si>
  <si>
    <t>Coconut Dhal Curry</t>
  </si>
  <si>
    <t>Creamy dhal with coconut milk</t>
  </si>
  <si>
    <t>Grilled Herb Chicken Strips</t>
  </si>
  <si>
    <t>Marinated in herbs and grilled</t>
  </si>
  <si>
    <t>Pasta with Chicken/Beef</t>
  </si>
  <si>
    <t>Rice &amp; Beef/Chicken Stir-Fry with Vegetables</t>
  </si>
  <si>
    <t>Mashed Potatoes with Stir-Fried Vegetables &amp; Chicken/Beef</t>
  </si>
  <si>
    <t>Weight Loss Menu</t>
  </si>
  <si>
    <t>Veggie &amp; Chickpea Rice Bowl</t>
  </si>
  <si>
    <t>Desserts Menu</t>
  </si>
  <si>
    <t>Greek Yogurt with Banana &amp; Chia Seeds – LKR 470</t>
  </si>
  <si>
    <t>A refreshing and nutritious bowl of creamy Greek yogurt topped with naturally sweet banana slices, protein-packed chia seeds, and a drizzle of golden honey. This light yet fulfilling treat is perfect for a healthy start to your day or a guilt-free snack.</t>
  </si>
  <si>
    <t>A hearty and nutritious oatmeal bowl topped with a medley of mixed nuts, ripe banana slices, and a drizzle of honey, providing a perfect balance of fiber, protein, and natural sweetness.</t>
  </si>
  <si>
    <t>Fluffy scrambled eggs cooked with fresh spinach and juicy tomatoes, lightly seasoned with salt and pepper for a nutritious and protein-packed meal.</t>
  </si>
  <si>
    <t>Add-ons:</t>
  </si>
  <si>
    <t>Extra egg – Rs. 100</t>
  </si>
  <si>
    <t>Extra Honey (5g) – LKR 24</t>
  </si>
  <si>
    <t>Extra nuts (15g) – Rs. 100</t>
  </si>
  <si>
    <t xml:space="preserve">Extra spinach (15g)- Rs. 40 </t>
  </si>
  <si>
    <t>Chia seeds (10g) – Rs. 50</t>
  </si>
  <si>
    <t>Extra granola (15g) – Rs. 90</t>
  </si>
  <si>
    <t>Extra tomatoes (10g)- Rs. 20</t>
  </si>
  <si>
    <t>Extra granola (15g) – Rs. 90 (Optional new add-on for extra crunch!)</t>
  </si>
  <si>
    <t>Extra banana (60g) – Rs. 50</t>
  </si>
  <si>
    <t>Extra olive oil (5ml) – Rs. 50</t>
  </si>
  <si>
    <t>Extra oats (25g) – Rs. 100</t>
  </si>
  <si>
    <t>Protein Pancakes – LKR 652</t>
  </si>
  <si>
    <t>A wholesome whole wheat wrap filled with tender cooked chicken, creamy avocado, fresh lettuce, and juicy tomatoes, finished with a drizzle of olive oil.</t>
  </si>
  <si>
    <t>Soft and fluffy protein-packed pancakes made with wholesome oats, egg whites, and a hint of vanilla. Lightly sweetened with honey, these pancakes are a perfect post-workout meal or a guilt-free breakfast that keeps you energized throughout the day.</t>
  </si>
  <si>
    <t>Toasted whole wheat bread layered with creamy avocado, protein-packed eggs, and fresh spinach for a wholesome and filling snack.</t>
  </si>
  <si>
    <t>Extra avocado (30g) – Rs. 50</t>
  </si>
  <si>
    <t>Extra chicken (50g) – Rs. 150</t>
  </si>
  <si>
    <t>Extra lettuce (10g)- Rs. 50</t>
  </si>
  <si>
    <t>Peanut Butter (20g) – LKR 120 (Optional new add-on for extra flavor!)</t>
  </si>
  <si>
    <t>Cheese slice – Rs. 100</t>
  </si>
  <si>
    <t>A protein-rich omelet with ground beef, eggs, bell peppers, and onions, cooked to perfection with olive oil and lightly seasoned with salt and pepper.</t>
  </si>
  <si>
    <t>A creamy smoothie bowl blended with curd and milk, topped with banana, chia seeds, flax seeds, and crunchy granola for a delicious, energy-boosting meal.</t>
  </si>
  <si>
    <t>Extra beef (50g) – Rs. 240</t>
  </si>
  <si>
    <t>Extra bell peppers (10g)- Rs. 40</t>
  </si>
  <si>
    <t>Peanut butter (15g) – Rs. 60</t>
  </si>
  <si>
    <t>Extra onions (10g)-Rs. Rs. 25</t>
  </si>
  <si>
    <t>A vibrant mix of broccoli, carrots, and bell peppers stir-fried with scrambled eggs and seasoned with soy sauce and olive oil for a delicious and filling snack.</t>
  </si>
  <si>
    <t>Fluffy scrambled eggs cooked with bell peppers, onions, tomatoes, and spinach, served with whole wheat bread and a touch of butter.</t>
  </si>
  <si>
    <t>Extra broccoli (25g)- Rs. 90</t>
  </si>
  <si>
    <t>Extra carrots (10g) - Rs. 25</t>
  </si>
  <si>
    <t>Cheese topping (15g) – Rs. 150</t>
  </si>
  <si>
    <t>Extra vegetables (20g) – Rs. 50</t>
  </si>
  <si>
    <t>Main Menu</t>
  </si>
  <si>
    <t>A balanced meal with your choice of tender chicken or beef, served with white or red rice, bell peppers, onions, and a touch of soy sauce.</t>
  </si>
  <si>
    <t>A flavorful, protein-rich chickpea curry cooked with fresh vegetables and aromatic spices, served with a side of rice.</t>
  </si>
  <si>
    <t>Extra chickpeas (50g) – Rs. 50</t>
  </si>
  <si>
    <t>Extra rice (50g) – Rs. 70</t>
  </si>
  <si>
    <t>Extra vegetables (30g) – Rs. 75</t>
  </si>
  <si>
    <t>Grilled chicken breast marinated in lemon juice, served with cauliflower rice, garlic, basil, and a touch of olive oil for a fresh, low-carb meal.</t>
  </si>
  <si>
    <t>Creamy mashed potatoes complemented by lightly stir-fried green beans, carrots, and bell peppers.</t>
  </si>
  <si>
    <t>Extra butter (5g) – Rs. 20</t>
  </si>
  <si>
    <t>extra mashed potatoes (15g) – Rs. 150</t>
  </si>
  <si>
    <t>Whole wheat noodles tossed with your choice of chicken, beef, or eggs, mixed with carrots, green onions, and soy sauce for a flavorful meal.</t>
  </si>
  <si>
    <t>A hearty pasta dish tossed in olive oil with a choice of succulent chicken or tender beef, garnished with Parmesan cheese.</t>
  </si>
  <si>
    <t>Extra noodles (50g)- Rs. 90</t>
  </si>
  <si>
    <t>Extra cheese (15g) – Rs. 150</t>
  </si>
  <si>
    <t>Extra Pasta</t>
  </si>
  <si>
    <t>A protein-packed dish featuring stir-fried chicken, scrambled eggs, bell peppers, broccoli, and carrots, seasoned with soy sauce and olive oil.</t>
  </si>
  <si>
    <t>Fluffy rice stir-fried with a choice of chicken or beef, combined with fresh bell peppers, carrots, and a hint of soy sauce.</t>
  </si>
  <si>
    <t>Extra chicken (50g) – Rs. 100</t>
  </si>
  <si>
    <t>A hearty bowl of either baked chicken or Mexican-spiced beef, served with cucumber, bell peppers, sweet potatoes, and a touch of cumin and chili powder.</t>
  </si>
  <si>
    <t>Juicy minced beef cooked with green beans and served over a bed of rice, drizzled with soy sauce for a rich, savory flavor.</t>
  </si>
  <si>
    <t>Extra sweet potatoes (50g)- Rs. 40</t>
  </si>
  <si>
    <t>Extra minced beef (50g) – Rs. 240</t>
  </si>
  <si>
    <t>Extra green beans (30g) – Rs. 60</t>
  </si>
  <si>
    <t>A deconstructed cheeseburger with seasoned ground beef, crisp lettuce, tomatoes, pickles, and cheddar cheese, all drizzled with olive oil.</t>
  </si>
  <si>
    <t>Extra cheddar cheese (15g) – Rs. 120</t>
  </si>
  <si>
    <t>Succulent chicken cooked in either a rich teriyaki sauce or creamy butter chicken sauce, paired with rice and fresh ingredients.</t>
  </si>
  <si>
    <t>Chicken &amp; Veggie Burger Bowl</t>
  </si>
  <si>
    <t>A wholesome bowl with grilled chicken breast, lettuce, tomatoes, pickles, and creamy avocado for a fresh and nutrient-dense meal.</t>
  </si>
  <si>
    <t>Extra teriyaki sauce (10ml) – Rs. 45</t>
  </si>
  <si>
    <t>A deconstructed burger bowl with minced beef, cheddar cheese, fresh onions, and lettuce, all packed with flavor and nutrients.</t>
  </si>
  <si>
    <t>A soft whole wheat wrap filled with scrambled eggs, fresh spinach, tomatoes, and onions, drizzled with olive oil for a healthy and delicious meal.</t>
  </si>
  <si>
    <t>Extra lettuce (30g) – Rs. 85</t>
  </si>
  <si>
    <t>Grilled chicken breast served with fresh lettuce, tomatoes, and a creamy mayonnaise drizzle.</t>
  </si>
  <si>
    <t>A plant-based meal featuring chickpeas, rice, carrots, bell peppers, spinach, and onions, seasoned with garlic and olive oil.</t>
  </si>
  <si>
    <t>Extra mayonnaise (10g) – Rs. 65</t>
  </si>
  <si>
    <t>A wholesome meal of creamy mashed potatoes served with stir-fried vegetables and your choice of chicken or beef.</t>
  </si>
  <si>
    <t>A rich and creamy shake made with fresh milk, chocolate protein powder, banana, and egg for an energy-boosting drink.</t>
  </si>
  <si>
    <t>Extra protein powder (10g) – Rs. 280</t>
  </si>
  <si>
    <t>A refreshing blend of cucumber, pineapple, coconut water, mint leaves, and lime juice for a hydrating detox drink.</t>
  </si>
  <si>
    <t>A protein-packed shake blending banana, peanut butter, milk, and protein powder, perfect for muscle growth and energy.</t>
  </si>
  <si>
    <t>Extra cucumber (15g) Rs. 25</t>
  </si>
  <si>
    <t>Extra pineapple (50g) – Rs. 50</t>
  </si>
  <si>
    <t>Extra coconut water (50ml)- Rs. 50</t>
  </si>
  <si>
    <t>Peanut butter (15g) – Rs. 100</t>
  </si>
  <si>
    <t>A hydrating shake made with fresh watermelon, mint leaves, milk, and a splash of lime juice for a cooling and nutritious drink.</t>
  </si>
  <si>
    <t>A delicious shake made with oats, chocolate protein powder, cocoa powder, and milk for a rich and satisfying boost.</t>
  </si>
  <si>
    <t>Extra watermelon (50g)- Rs. 50</t>
  </si>
  <si>
    <t>Extra milk (50ml)- Rs. 50</t>
  </si>
  <si>
    <t>Extra cocoa powder (5g) – Rs.40</t>
  </si>
  <si>
    <t>A tropical shake with fresh papaya, lime juice, coconut water, and ice cubes for a refreshing and vitamin-rich beverage.</t>
  </si>
  <si>
    <t>Extra papaya (50g)- Rs. 30</t>
  </si>
  <si>
    <t>A classic blend of banana, peanut butter, milk, and honey, delivering a smooth and creamy texture with natural sweetness.</t>
  </si>
  <si>
    <t>Extra peanut butter (15g) – Rs. 100</t>
  </si>
  <si>
    <t>Extra honey (10g) – Rs. 40</t>
  </si>
  <si>
    <t>A tropical smoothie featuring mango, avocado, yogurt, and milk, offering a refreshing and nutritious option.</t>
  </si>
  <si>
    <t>Extra mango (50g) – Rs. 80</t>
  </si>
  <si>
    <t>Extra yogurt (50g) – Rs. 65</t>
  </si>
  <si>
    <t>A unique and refreshing shake combining pineapple, oats, yogurt, and milk for a fiber-rich energy boost.</t>
  </si>
  <si>
    <t>Extra oats (25g) – Rs.100</t>
  </si>
  <si>
    <t>Egg Salad Sandwich</t>
  </si>
  <si>
    <t>Honey chicken salad bowl</t>
  </si>
  <si>
    <t>Chicken Spaghetti</t>
  </si>
  <si>
    <t xml:space="preserve">Beef Fried Rice </t>
  </si>
  <si>
    <t>Egg Salad</t>
  </si>
  <si>
    <t>Add ons</t>
  </si>
  <si>
    <t>Rice (100g)</t>
  </si>
  <si>
    <t>Pasta (100g)</t>
  </si>
  <si>
    <t>Noodles(100g)</t>
  </si>
  <si>
    <t>Chicken (100g)</t>
  </si>
  <si>
    <t>Cripsy Chicken (100g)</t>
  </si>
  <si>
    <t>Grilled Chicken (100g)</t>
  </si>
  <si>
    <t>Garlic Sauce 15ml</t>
  </si>
  <si>
    <t xml:space="preserve">Green Sauce 15ml </t>
  </si>
  <si>
    <t xml:space="preserve">Water Bottle 500ml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</si>
</sst>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" fontId="2" fillId="0" borderId="0" xfId="0" applyNumberFormat="1" applyFont="1"/>
    <xf numFmtId="4" fontId="1" fillId="0" borderId="0" xfId="0" applyNumberFormat="1" applyFont="1"/>
    <xf numFmtId="3" fontId="2" fillId="0" borderId="0" xfId="0" applyNumberFormat="1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3" fontId="1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5" fillId="2" borderId="0" xfId="0" applyFont="1" applyFill="1"/>
    <xf numFmtId="0" fontId="7" fillId="0" borderId="0" xfId="0" applyFont="1"/>
    <xf numFmtId="0" fontId="8" fillId="0" borderId="0" xfId="0" applyFont="1"/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2" xfId="0" applyFont="1" applyBorder="1" applyAlignment="1">
      <alignment horizontal="right" wrapText="1"/>
    </xf>
    <xf numFmtId="0" fontId="9" fillId="0" borderId="3" xfId="0" applyFont="1" applyBorder="1" applyAlignment="1">
      <alignment horizontal="right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31"/>
  <sheetViews>
    <sheetView workbookViewId="0"/>
  </sheetViews>
  <sheetFormatPr defaultColWidth="12.6640625" defaultRowHeight="15.75" customHeight="1" x14ac:dyDescent="0.25"/>
  <cols>
    <col min="1" max="1" width="13" customWidth="1"/>
    <col min="2" max="2" width="48.6640625" customWidth="1"/>
    <col min="3" max="3" width="18.109375" customWidth="1"/>
    <col min="4" max="4" width="28.21875" customWidth="1"/>
    <col min="5" max="5" width="16" customWidth="1"/>
    <col min="6" max="6" width="10.109375" customWidth="1"/>
    <col min="7" max="7" width="17.109375" customWidth="1"/>
    <col min="8" max="8" width="40.44140625" customWidth="1"/>
    <col min="9" max="9" width="18.109375" customWidth="1"/>
    <col min="10" max="10" width="40.44140625" customWidth="1"/>
    <col min="11" max="11" width="16" customWidth="1"/>
  </cols>
  <sheetData>
    <row r="1" spans="1:25" x14ac:dyDescent="0.25">
      <c r="A1" s="2" t="s">
        <v>0</v>
      </c>
      <c r="I1" s="3" t="s">
        <v>1</v>
      </c>
    </row>
    <row r="3" spans="1:2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0.3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  <c r="N3" s="5">
        <v>0.3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5">
      <c r="A4" s="7" t="s">
        <v>7</v>
      </c>
      <c r="B4" s="1" t="s">
        <v>8</v>
      </c>
      <c r="C4" s="1">
        <v>150</v>
      </c>
      <c r="D4" s="1">
        <v>50</v>
      </c>
      <c r="E4" s="1">
        <v>300</v>
      </c>
      <c r="F4" s="1">
        <f t="shared" ref="F4:F21" si="0">(E4*30%)</f>
        <v>90</v>
      </c>
      <c r="I4" s="7" t="s">
        <v>7</v>
      </c>
      <c r="J4" s="1" t="s">
        <v>9</v>
      </c>
      <c r="K4" s="1">
        <v>200</v>
      </c>
      <c r="L4" s="1">
        <v>50</v>
      </c>
      <c r="M4" s="1">
        <v>400</v>
      </c>
      <c r="N4" s="1">
        <f t="shared" ref="N4:N21" si="1">(M4*30%)</f>
        <v>120</v>
      </c>
    </row>
    <row r="5" spans="1:25" x14ac:dyDescent="0.25">
      <c r="A5" s="7"/>
      <c r="B5" s="1" t="s">
        <v>10</v>
      </c>
      <c r="C5" s="1">
        <v>250</v>
      </c>
      <c r="D5" s="1">
        <v>60</v>
      </c>
      <c r="E5" s="1">
        <v>450</v>
      </c>
      <c r="F5" s="1">
        <f t="shared" si="0"/>
        <v>135</v>
      </c>
      <c r="I5" s="7"/>
      <c r="J5" s="1" t="s">
        <v>11</v>
      </c>
      <c r="K5" s="1">
        <v>350</v>
      </c>
      <c r="L5" s="1">
        <v>70</v>
      </c>
      <c r="M5" s="1">
        <v>600</v>
      </c>
      <c r="N5" s="1">
        <f t="shared" si="1"/>
        <v>180</v>
      </c>
    </row>
    <row r="6" spans="1:25" x14ac:dyDescent="0.25">
      <c r="A6" s="7"/>
      <c r="B6" s="1" t="s">
        <v>12</v>
      </c>
      <c r="C6" s="1">
        <v>350</v>
      </c>
      <c r="D6" s="1">
        <v>70</v>
      </c>
      <c r="E6" s="1">
        <v>600</v>
      </c>
      <c r="F6" s="1">
        <f t="shared" si="0"/>
        <v>180</v>
      </c>
      <c r="I6" s="7"/>
      <c r="J6" s="1" t="s">
        <v>13</v>
      </c>
      <c r="K6" s="1">
        <v>350</v>
      </c>
      <c r="L6" s="1">
        <v>70</v>
      </c>
      <c r="M6" s="1">
        <v>600</v>
      </c>
      <c r="N6" s="1">
        <f t="shared" si="1"/>
        <v>180</v>
      </c>
    </row>
    <row r="7" spans="1:25" x14ac:dyDescent="0.25">
      <c r="A7" s="7"/>
      <c r="B7" s="1" t="s">
        <v>14</v>
      </c>
      <c r="C7" s="1">
        <v>200</v>
      </c>
      <c r="D7" s="1">
        <v>50</v>
      </c>
      <c r="E7" s="1">
        <v>400</v>
      </c>
      <c r="F7" s="1">
        <f t="shared" si="0"/>
        <v>120</v>
      </c>
      <c r="I7" s="7"/>
      <c r="J7" s="1" t="s">
        <v>15</v>
      </c>
      <c r="K7" s="1">
        <v>250</v>
      </c>
      <c r="L7" s="1">
        <v>50</v>
      </c>
      <c r="M7" s="1">
        <v>450</v>
      </c>
      <c r="N7" s="1">
        <f t="shared" si="1"/>
        <v>135</v>
      </c>
    </row>
    <row r="8" spans="1:25" x14ac:dyDescent="0.25">
      <c r="A8" s="7" t="s">
        <v>16</v>
      </c>
      <c r="B8" s="1" t="s">
        <v>17</v>
      </c>
      <c r="C8" s="1">
        <v>350</v>
      </c>
      <c r="D8" s="1">
        <v>80</v>
      </c>
      <c r="E8" s="1">
        <v>600</v>
      </c>
      <c r="F8" s="1">
        <f t="shared" si="0"/>
        <v>180</v>
      </c>
      <c r="I8" s="7" t="s">
        <v>16</v>
      </c>
      <c r="J8" s="1" t="s">
        <v>18</v>
      </c>
      <c r="K8" s="1">
        <v>350</v>
      </c>
      <c r="L8" s="1">
        <v>70</v>
      </c>
      <c r="M8" s="1">
        <v>600</v>
      </c>
      <c r="N8" s="1">
        <f t="shared" si="1"/>
        <v>180</v>
      </c>
    </row>
    <row r="9" spans="1:25" x14ac:dyDescent="0.25">
      <c r="A9" s="7"/>
      <c r="B9" s="1" t="s">
        <v>19</v>
      </c>
      <c r="C9" s="1">
        <v>300</v>
      </c>
      <c r="D9" s="1">
        <v>60</v>
      </c>
      <c r="E9" s="1">
        <v>550</v>
      </c>
      <c r="F9" s="1">
        <f t="shared" si="0"/>
        <v>165</v>
      </c>
      <c r="I9" s="7"/>
      <c r="J9" s="1" t="s">
        <v>20</v>
      </c>
      <c r="K9" s="1">
        <v>400</v>
      </c>
      <c r="L9" s="1">
        <v>80</v>
      </c>
      <c r="M9" s="1">
        <v>650</v>
      </c>
      <c r="N9" s="1">
        <f t="shared" si="1"/>
        <v>195</v>
      </c>
    </row>
    <row r="10" spans="1:25" x14ac:dyDescent="0.25">
      <c r="A10" s="7"/>
      <c r="B10" s="1" t="s">
        <v>21</v>
      </c>
      <c r="C10" s="1">
        <v>450</v>
      </c>
      <c r="D10" s="1">
        <v>80</v>
      </c>
      <c r="E10" s="1">
        <v>750</v>
      </c>
      <c r="F10" s="1">
        <f t="shared" si="0"/>
        <v>225</v>
      </c>
      <c r="I10" s="7"/>
      <c r="J10" s="1" t="s">
        <v>22</v>
      </c>
      <c r="K10" s="1">
        <v>350</v>
      </c>
      <c r="L10" s="1">
        <v>70</v>
      </c>
      <c r="M10" s="1">
        <v>600</v>
      </c>
      <c r="N10" s="1">
        <f t="shared" si="1"/>
        <v>180</v>
      </c>
    </row>
    <row r="11" spans="1:25" x14ac:dyDescent="0.25">
      <c r="A11" s="7"/>
      <c r="B11" s="1" t="s">
        <v>23</v>
      </c>
      <c r="C11" s="1">
        <v>400</v>
      </c>
      <c r="D11" s="1">
        <v>70</v>
      </c>
      <c r="E11" s="1">
        <v>700</v>
      </c>
      <c r="F11" s="1">
        <f t="shared" si="0"/>
        <v>210</v>
      </c>
      <c r="I11" s="7"/>
      <c r="J11" s="1" t="s">
        <v>24</v>
      </c>
      <c r="K11" s="1">
        <v>300</v>
      </c>
      <c r="L11" s="1">
        <v>60</v>
      </c>
      <c r="M11" s="1">
        <v>550</v>
      </c>
      <c r="N11" s="1">
        <f t="shared" si="1"/>
        <v>165</v>
      </c>
    </row>
    <row r="12" spans="1:25" x14ac:dyDescent="0.25">
      <c r="A12" s="7"/>
      <c r="B12" s="1" t="s">
        <v>25</v>
      </c>
      <c r="C12" s="1">
        <v>450</v>
      </c>
      <c r="D12" s="1">
        <v>80</v>
      </c>
      <c r="E12" s="1">
        <v>750</v>
      </c>
      <c r="F12" s="1">
        <f t="shared" si="0"/>
        <v>225</v>
      </c>
      <c r="I12" s="7"/>
      <c r="J12" s="1" t="s">
        <v>26</v>
      </c>
      <c r="K12" s="1">
        <v>500</v>
      </c>
      <c r="L12" s="1">
        <v>90</v>
      </c>
      <c r="M12" s="1">
        <v>800</v>
      </c>
      <c r="N12" s="1">
        <f t="shared" si="1"/>
        <v>240</v>
      </c>
    </row>
    <row r="13" spans="1:25" x14ac:dyDescent="0.25">
      <c r="A13" s="7"/>
      <c r="B13" s="1" t="s">
        <v>27</v>
      </c>
      <c r="C13" s="1">
        <v>500</v>
      </c>
      <c r="D13" s="1">
        <v>90</v>
      </c>
      <c r="E13" s="1">
        <v>850</v>
      </c>
      <c r="F13" s="1">
        <f t="shared" si="0"/>
        <v>255</v>
      </c>
      <c r="I13" s="7"/>
      <c r="J13" s="1" t="s">
        <v>28</v>
      </c>
      <c r="K13" s="1">
        <v>450</v>
      </c>
      <c r="L13" s="1">
        <v>70</v>
      </c>
      <c r="M13" s="1">
        <v>750</v>
      </c>
      <c r="N13" s="1">
        <f t="shared" si="1"/>
        <v>225</v>
      </c>
    </row>
    <row r="14" spans="1:25" x14ac:dyDescent="0.25">
      <c r="A14" s="7"/>
      <c r="B14" s="1" t="s">
        <v>28</v>
      </c>
      <c r="C14" s="1">
        <v>400</v>
      </c>
      <c r="D14" s="1">
        <v>70</v>
      </c>
      <c r="E14" s="1">
        <v>700</v>
      </c>
      <c r="F14" s="1">
        <f t="shared" si="0"/>
        <v>210</v>
      </c>
      <c r="I14" s="7"/>
      <c r="J14" s="1" t="s">
        <v>29</v>
      </c>
      <c r="K14" s="1">
        <v>400</v>
      </c>
      <c r="L14" s="1">
        <v>70</v>
      </c>
      <c r="M14" s="1">
        <v>650</v>
      </c>
      <c r="N14" s="1">
        <f t="shared" si="1"/>
        <v>195</v>
      </c>
    </row>
    <row r="15" spans="1:25" x14ac:dyDescent="0.25">
      <c r="A15" s="7"/>
      <c r="B15" s="1" t="s">
        <v>30</v>
      </c>
      <c r="C15" s="1">
        <v>400</v>
      </c>
      <c r="D15" s="1">
        <v>70</v>
      </c>
      <c r="E15" s="1">
        <v>700</v>
      </c>
      <c r="F15" s="1">
        <f t="shared" si="0"/>
        <v>210</v>
      </c>
      <c r="I15" s="7"/>
      <c r="J15" s="1" t="s">
        <v>31</v>
      </c>
      <c r="K15" s="1">
        <v>200</v>
      </c>
      <c r="L15" s="1">
        <v>50</v>
      </c>
      <c r="M15" s="1">
        <v>400</v>
      </c>
      <c r="N15" s="1">
        <f t="shared" si="1"/>
        <v>120</v>
      </c>
    </row>
    <row r="16" spans="1:25" x14ac:dyDescent="0.25">
      <c r="A16" s="7"/>
      <c r="B16" s="1" t="s">
        <v>32</v>
      </c>
      <c r="C16" s="1">
        <v>400</v>
      </c>
      <c r="D16" s="1">
        <v>70</v>
      </c>
      <c r="E16" s="1">
        <v>700</v>
      </c>
      <c r="F16" s="1">
        <f t="shared" si="0"/>
        <v>210</v>
      </c>
      <c r="I16" s="7"/>
      <c r="J16" s="1" t="s">
        <v>33</v>
      </c>
      <c r="K16" s="1">
        <v>300</v>
      </c>
      <c r="L16" s="1">
        <v>60</v>
      </c>
      <c r="M16" s="1">
        <v>550</v>
      </c>
      <c r="N16" s="1">
        <f t="shared" si="1"/>
        <v>165</v>
      </c>
    </row>
    <row r="17" spans="1:14" x14ac:dyDescent="0.25">
      <c r="A17" s="7" t="s">
        <v>34</v>
      </c>
      <c r="B17" s="1" t="s">
        <v>35</v>
      </c>
      <c r="C17" s="1">
        <v>350</v>
      </c>
      <c r="D17" s="1">
        <v>60</v>
      </c>
      <c r="E17" s="1">
        <v>600</v>
      </c>
      <c r="F17" s="1">
        <f t="shared" si="0"/>
        <v>180</v>
      </c>
      <c r="I17" s="7" t="s">
        <v>34</v>
      </c>
      <c r="J17" s="1" t="s">
        <v>36</v>
      </c>
      <c r="K17" s="1">
        <v>350</v>
      </c>
      <c r="L17" s="1">
        <v>60</v>
      </c>
      <c r="M17" s="1">
        <v>600</v>
      </c>
      <c r="N17" s="1">
        <f t="shared" si="1"/>
        <v>180</v>
      </c>
    </row>
    <row r="18" spans="1:14" x14ac:dyDescent="0.25">
      <c r="A18" s="7"/>
      <c r="B18" s="1" t="s">
        <v>37</v>
      </c>
      <c r="C18" s="1">
        <v>300</v>
      </c>
      <c r="D18" s="1">
        <v>50</v>
      </c>
      <c r="E18" s="1">
        <v>550</v>
      </c>
      <c r="F18" s="1">
        <f t="shared" si="0"/>
        <v>165</v>
      </c>
      <c r="I18" s="7"/>
      <c r="J18" s="1" t="s">
        <v>38</v>
      </c>
      <c r="K18" s="1">
        <v>350</v>
      </c>
      <c r="L18" s="1">
        <v>60</v>
      </c>
      <c r="M18" s="1">
        <v>600</v>
      </c>
      <c r="N18" s="1">
        <f t="shared" si="1"/>
        <v>180</v>
      </c>
    </row>
    <row r="19" spans="1:14" x14ac:dyDescent="0.25">
      <c r="A19" s="7"/>
      <c r="B19" s="1" t="s">
        <v>39</v>
      </c>
      <c r="C19" s="1">
        <v>350</v>
      </c>
      <c r="D19" s="1">
        <v>60</v>
      </c>
      <c r="E19" s="1">
        <v>600</v>
      </c>
      <c r="F19" s="1">
        <f t="shared" si="0"/>
        <v>180</v>
      </c>
      <c r="I19" s="7"/>
      <c r="J19" s="1" t="s">
        <v>40</v>
      </c>
      <c r="K19" s="1">
        <v>300</v>
      </c>
      <c r="L19" s="1">
        <v>50</v>
      </c>
      <c r="M19" s="1">
        <v>550</v>
      </c>
      <c r="N19" s="1">
        <f t="shared" si="1"/>
        <v>165</v>
      </c>
    </row>
    <row r="20" spans="1:14" x14ac:dyDescent="0.25">
      <c r="A20" s="7"/>
      <c r="B20" s="1" t="s">
        <v>41</v>
      </c>
      <c r="C20" s="1">
        <v>400</v>
      </c>
      <c r="D20" s="1">
        <v>70</v>
      </c>
      <c r="E20" s="1">
        <v>650</v>
      </c>
      <c r="F20" s="1">
        <f t="shared" si="0"/>
        <v>195</v>
      </c>
      <c r="I20" s="7"/>
      <c r="J20" s="1" t="s">
        <v>42</v>
      </c>
      <c r="K20" s="1">
        <v>300</v>
      </c>
      <c r="L20" s="1">
        <v>50</v>
      </c>
      <c r="M20" s="1">
        <v>550</v>
      </c>
      <c r="N20" s="1">
        <f t="shared" si="1"/>
        <v>165</v>
      </c>
    </row>
    <row r="21" spans="1:14" x14ac:dyDescent="0.25">
      <c r="A21" s="7"/>
      <c r="B21" s="1" t="s">
        <v>43</v>
      </c>
      <c r="C21" s="1">
        <v>350</v>
      </c>
      <c r="D21" s="1">
        <v>60</v>
      </c>
      <c r="E21" s="1">
        <v>600</v>
      </c>
      <c r="F21" s="1">
        <f t="shared" si="0"/>
        <v>180</v>
      </c>
      <c r="I21" s="7"/>
      <c r="J21" s="1" t="s">
        <v>44</v>
      </c>
      <c r="K21" s="1">
        <v>300</v>
      </c>
      <c r="L21" s="1">
        <v>50</v>
      </c>
      <c r="M21" s="1">
        <v>550</v>
      </c>
      <c r="N21" s="1">
        <f t="shared" si="1"/>
        <v>165</v>
      </c>
    </row>
    <row r="22" spans="1:14" x14ac:dyDescent="0.25">
      <c r="A22" s="8"/>
    </row>
    <row r="24" spans="1:14" x14ac:dyDescent="0.25">
      <c r="A24" s="9" t="s">
        <v>45</v>
      </c>
      <c r="C24" s="10"/>
      <c r="D24" s="10"/>
      <c r="E24" s="10"/>
    </row>
    <row r="25" spans="1:14" x14ac:dyDescent="0.25">
      <c r="B25" s="10"/>
      <c r="C25" s="10"/>
      <c r="D25" s="10"/>
      <c r="E25" s="10"/>
    </row>
    <row r="26" spans="1:14" x14ac:dyDescent="0.25">
      <c r="B26" s="4" t="s">
        <v>3</v>
      </c>
      <c r="C26" s="4" t="s">
        <v>46</v>
      </c>
      <c r="D26" s="4" t="s">
        <v>47</v>
      </c>
      <c r="E26" s="4" t="s">
        <v>6</v>
      </c>
      <c r="F26" s="5">
        <v>0.3</v>
      </c>
    </row>
    <row r="27" spans="1:14" x14ac:dyDescent="0.25">
      <c r="B27" s="1" t="s">
        <v>48</v>
      </c>
      <c r="C27" s="1">
        <v>200</v>
      </c>
      <c r="D27" s="1">
        <v>50</v>
      </c>
      <c r="E27" s="1">
        <v>400</v>
      </c>
      <c r="F27" s="1">
        <f t="shared" ref="F27:F31" si="2">(E27*30%)</f>
        <v>120</v>
      </c>
    </row>
    <row r="28" spans="1:14" x14ac:dyDescent="0.25">
      <c r="B28" s="1" t="s">
        <v>49</v>
      </c>
      <c r="C28" s="1">
        <v>250</v>
      </c>
      <c r="D28" s="1">
        <v>60</v>
      </c>
      <c r="E28" s="1">
        <v>450</v>
      </c>
      <c r="F28" s="1">
        <f t="shared" si="2"/>
        <v>135</v>
      </c>
    </row>
    <row r="29" spans="1:14" x14ac:dyDescent="0.25">
      <c r="B29" s="1" t="s">
        <v>50</v>
      </c>
      <c r="C29" s="1">
        <v>300</v>
      </c>
      <c r="D29" s="1">
        <v>60</v>
      </c>
      <c r="E29" s="1">
        <v>550</v>
      </c>
      <c r="F29" s="1">
        <f t="shared" si="2"/>
        <v>165</v>
      </c>
    </row>
    <row r="30" spans="1:14" x14ac:dyDescent="0.25">
      <c r="B30" s="1" t="s">
        <v>51</v>
      </c>
      <c r="C30" s="1">
        <v>350</v>
      </c>
      <c r="D30" s="1">
        <v>70</v>
      </c>
      <c r="E30" s="1">
        <v>600</v>
      </c>
      <c r="F30" s="1">
        <f t="shared" si="2"/>
        <v>180</v>
      </c>
    </row>
    <row r="31" spans="1:14" x14ac:dyDescent="0.25">
      <c r="B31" s="1" t="s">
        <v>52</v>
      </c>
      <c r="C31" s="1">
        <v>350</v>
      </c>
      <c r="D31" s="1">
        <v>70</v>
      </c>
      <c r="E31" s="1">
        <v>600</v>
      </c>
      <c r="F31" s="1">
        <f t="shared" si="2"/>
        <v>180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20"/>
  <sheetViews>
    <sheetView workbookViewId="0"/>
  </sheetViews>
  <sheetFormatPr defaultColWidth="12.6640625" defaultRowHeight="15.75" customHeight="1" x14ac:dyDescent="0.25"/>
  <cols>
    <col min="2" max="2" width="16.44140625" customWidth="1"/>
  </cols>
  <sheetData>
    <row r="2" spans="1:3" x14ac:dyDescent="0.25">
      <c r="A2" s="2" t="s">
        <v>0</v>
      </c>
      <c r="B2" s="8" t="s">
        <v>53</v>
      </c>
      <c r="C2" s="8" t="e">
        <f t="shared" ref="C2:C3" si="0">#REF!</f>
        <v>#REF!</v>
      </c>
    </row>
    <row r="3" spans="1:3" x14ac:dyDescent="0.25">
      <c r="A3" s="3" t="s">
        <v>1</v>
      </c>
      <c r="B3" s="8" t="s">
        <v>53</v>
      </c>
      <c r="C3" s="8" t="e">
        <f t="shared" si="0"/>
        <v>#REF!</v>
      </c>
    </row>
    <row r="4" spans="1:3" x14ac:dyDescent="0.25">
      <c r="A4" s="9" t="s">
        <v>45</v>
      </c>
      <c r="B4" s="8" t="s">
        <v>53</v>
      </c>
      <c r="C4" s="11" t="e">
        <f>#REF!</f>
        <v>#REF!</v>
      </c>
    </row>
    <row r="5" spans="1:3" x14ac:dyDescent="0.25">
      <c r="A5" s="8" t="s">
        <v>54</v>
      </c>
      <c r="B5" s="8" t="s">
        <v>53</v>
      </c>
      <c r="C5" s="12" t="e">
        <f>#REF!</f>
        <v>#REF!</v>
      </c>
    </row>
    <row r="6" spans="1:3" x14ac:dyDescent="0.25">
      <c r="A6" s="8" t="s">
        <v>55</v>
      </c>
      <c r="B6" s="8" t="s">
        <v>53</v>
      </c>
      <c r="C6" s="6" t="e">
        <f>#REF!</f>
        <v>#REF!</v>
      </c>
    </row>
    <row r="7" spans="1:3" x14ac:dyDescent="0.25">
      <c r="C7" s="6" t="e">
        <f>SUM(C2:C6)</f>
        <v>#REF!</v>
      </c>
    </row>
    <row r="9" spans="1:3" x14ac:dyDescent="0.25">
      <c r="A9" s="2" t="s">
        <v>0</v>
      </c>
      <c r="B9" s="8" t="s">
        <v>56</v>
      </c>
      <c r="C9" s="8" t="e">
        <f t="shared" ref="C9:C10" si="1">#REF!</f>
        <v>#REF!</v>
      </c>
    </row>
    <row r="10" spans="1:3" x14ac:dyDescent="0.25">
      <c r="A10" s="3" t="s">
        <v>1</v>
      </c>
      <c r="B10" s="8" t="s">
        <v>56</v>
      </c>
      <c r="C10" s="8" t="e">
        <f t="shared" si="1"/>
        <v>#REF!</v>
      </c>
    </row>
    <row r="11" spans="1:3" x14ac:dyDescent="0.25">
      <c r="A11" s="9" t="s">
        <v>45</v>
      </c>
      <c r="B11" s="8" t="s">
        <v>56</v>
      </c>
      <c r="C11" s="11" t="e">
        <f>#REF!</f>
        <v>#REF!</v>
      </c>
    </row>
    <row r="12" spans="1:3" x14ac:dyDescent="0.25">
      <c r="A12" s="8" t="s">
        <v>54</v>
      </c>
      <c r="B12" s="8" t="s">
        <v>56</v>
      </c>
      <c r="C12" s="12" t="e">
        <f>#REF!</f>
        <v>#REF!</v>
      </c>
    </row>
    <row r="13" spans="1:3" x14ac:dyDescent="0.25">
      <c r="A13" s="8" t="s">
        <v>55</v>
      </c>
      <c r="B13" s="8" t="s">
        <v>56</v>
      </c>
      <c r="C13" s="6" t="e">
        <f>#REF!</f>
        <v>#REF!</v>
      </c>
    </row>
    <row r="14" spans="1:3" x14ac:dyDescent="0.25">
      <c r="C14" s="6" t="e">
        <f>SUM(C9:C13)</f>
        <v>#REF!</v>
      </c>
    </row>
    <row r="16" spans="1:3" x14ac:dyDescent="0.25">
      <c r="B16" s="8" t="s">
        <v>57</v>
      </c>
      <c r="C16" s="8" t="e">
        <f>C7+C14</f>
        <v>#REF!</v>
      </c>
    </row>
    <row r="17" spans="2:3" x14ac:dyDescent="0.25">
      <c r="B17" s="8" t="s">
        <v>58</v>
      </c>
      <c r="C17" s="13" t="e">
        <f>#REF!</f>
        <v>#REF!</v>
      </c>
    </row>
    <row r="18" spans="2:3" x14ac:dyDescent="0.25">
      <c r="B18" s="8" t="s">
        <v>59</v>
      </c>
      <c r="C18" s="8">
        <v>100000</v>
      </c>
    </row>
    <row r="19" spans="2:3" x14ac:dyDescent="0.25">
      <c r="B19" s="8" t="s">
        <v>60</v>
      </c>
      <c r="C19" s="8">
        <v>30000</v>
      </c>
    </row>
    <row r="20" spans="2:3" x14ac:dyDescent="0.25">
      <c r="B20" s="8" t="s">
        <v>61</v>
      </c>
      <c r="C20" s="8" t="e">
        <f>C16-C17-C18-C19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9"/>
  <sheetViews>
    <sheetView workbookViewId="0"/>
  </sheetViews>
  <sheetFormatPr defaultColWidth="12.6640625" defaultRowHeight="15.75" customHeight="1" x14ac:dyDescent="0.25"/>
  <cols>
    <col min="1" max="1" width="48.6640625" customWidth="1"/>
    <col min="5" max="5" width="20.21875" customWidth="1"/>
    <col min="8" max="8" width="40.44140625" customWidth="1"/>
  </cols>
  <sheetData>
    <row r="1" spans="1:12" ht="15.75" customHeight="1" x14ac:dyDescent="0.3">
      <c r="A1" s="14" t="s">
        <v>62</v>
      </c>
      <c r="H1" s="15" t="s">
        <v>1</v>
      </c>
    </row>
    <row r="3" spans="1:12" x14ac:dyDescent="0.25">
      <c r="A3" s="4" t="s">
        <v>3</v>
      </c>
      <c r="B3" s="4" t="s">
        <v>4</v>
      </c>
      <c r="C3" s="4" t="s">
        <v>63</v>
      </c>
      <c r="D3" s="4" t="s">
        <v>64</v>
      </c>
      <c r="E3" s="4" t="s">
        <v>65</v>
      </c>
      <c r="H3" s="4" t="s">
        <v>3</v>
      </c>
      <c r="I3" s="4" t="s">
        <v>4</v>
      </c>
      <c r="J3" s="4" t="s">
        <v>63</v>
      </c>
      <c r="K3" s="4" t="s">
        <v>64</v>
      </c>
      <c r="L3" s="4" t="s">
        <v>65</v>
      </c>
    </row>
    <row r="4" spans="1:12" x14ac:dyDescent="0.25">
      <c r="A4" s="1" t="s">
        <v>8</v>
      </c>
      <c r="B4" s="1">
        <v>150</v>
      </c>
      <c r="C4" s="1" t="e">
        <f>#REF!</f>
        <v>#REF!</v>
      </c>
      <c r="D4" s="1">
        <v>200</v>
      </c>
      <c r="E4" s="1">
        <v>350</v>
      </c>
      <c r="H4" s="1" t="s">
        <v>9</v>
      </c>
      <c r="I4" s="1">
        <v>200</v>
      </c>
      <c r="J4" s="1">
        <v>50</v>
      </c>
      <c r="K4" s="1">
        <v>250</v>
      </c>
      <c r="L4" s="1">
        <v>450</v>
      </c>
    </row>
    <row r="5" spans="1:12" x14ac:dyDescent="0.25">
      <c r="A5" s="1" t="s">
        <v>10</v>
      </c>
      <c r="B5" s="1">
        <v>250</v>
      </c>
      <c r="C5" s="1" t="e">
        <f>#REF!</f>
        <v>#REF!</v>
      </c>
      <c r="D5" s="1">
        <v>310</v>
      </c>
      <c r="E5" s="1">
        <v>550</v>
      </c>
      <c r="H5" s="1" t="s">
        <v>11</v>
      </c>
      <c r="I5" s="1">
        <v>350</v>
      </c>
      <c r="J5" s="1">
        <v>70</v>
      </c>
      <c r="K5" s="1">
        <v>420</v>
      </c>
      <c r="L5" s="1">
        <v>700</v>
      </c>
    </row>
    <row r="6" spans="1:12" x14ac:dyDescent="0.25">
      <c r="A6" s="1" t="s">
        <v>12</v>
      </c>
      <c r="B6" s="1">
        <v>350</v>
      </c>
      <c r="C6" s="1" t="e">
        <f>#REF!</f>
        <v>#REF!</v>
      </c>
      <c r="D6" s="1">
        <v>420</v>
      </c>
      <c r="E6" s="1">
        <v>700</v>
      </c>
      <c r="H6" s="1" t="s">
        <v>13</v>
      </c>
      <c r="I6" s="1">
        <v>350</v>
      </c>
      <c r="J6" s="1">
        <v>70</v>
      </c>
      <c r="K6" s="1">
        <v>420</v>
      </c>
      <c r="L6" s="1">
        <v>700</v>
      </c>
    </row>
    <row r="7" spans="1:12" x14ac:dyDescent="0.25">
      <c r="A7" s="1" t="s">
        <v>14</v>
      </c>
      <c r="B7" s="1">
        <v>200</v>
      </c>
      <c r="C7" s="1" t="e">
        <f>#REF!</f>
        <v>#REF!</v>
      </c>
      <c r="D7" s="1">
        <v>250</v>
      </c>
      <c r="E7" s="1">
        <v>450</v>
      </c>
      <c r="H7" s="1" t="s">
        <v>15</v>
      </c>
      <c r="I7" s="1">
        <v>250</v>
      </c>
      <c r="J7" s="1">
        <v>50</v>
      </c>
      <c r="K7" s="1">
        <v>300</v>
      </c>
      <c r="L7" s="1">
        <v>500</v>
      </c>
    </row>
    <row r="8" spans="1:12" x14ac:dyDescent="0.25">
      <c r="A8" s="1" t="s">
        <v>17</v>
      </c>
      <c r="B8" s="1">
        <v>350</v>
      </c>
      <c r="C8" s="1" t="e">
        <f>#REF!</f>
        <v>#REF!</v>
      </c>
      <c r="D8" s="1">
        <v>430</v>
      </c>
      <c r="E8" s="1">
        <v>750</v>
      </c>
      <c r="H8" s="1" t="s">
        <v>18</v>
      </c>
      <c r="I8" s="1">
        <v>350</v>
      </c>
      <c r="J8" s="1">
        <v>70</v>
      </c>
      <c r="K8" s="1">
        <v>420</v>
      </c>
      <c r="L8" s="1">
        <v>700</v>
      </c>
    </row>
    <row r="9" spans="1:12" x14ac:dyDescent="0.25">
      <c r="A9" s="1" t="s">
        <v>19</v>
      </c>
      <c r="B9" s="1">
        <v>300</v>
      </c>
      <c r="C9" s="1" t="e">
        <f>#REF!</f>
        <v>#REF!</v>
      </c>
      <c r="D9" s="1">
        <v>360</v>
      </c>
      <c r="E9" s="1">
        <v>600</v>
      </c>
      <c r="H9" s="1" t="s">
        <v>20</v>
      </c>
      <c r="I9" s="1">
        <v>400</v>
      </c>
      <c r="J9" s="1">
        <v>80</v>
      </c>
      <c r="K9" s="1">
        <v>480</v>
      </c>
      <c r="L9" s="1">
        <v>800</v>
      </c>
    </row>
    <row r="10" spans="1:12" x14ac:dyDescent="0.25">
      <c r="A10" s="1" t="s">
        <v>21</v>
      </c>
      <c r="B10" s="1">
        <v>450</v>
      </c>
      <c r="C10" s="1" t="e">
        <f>#REF!</f>
        <v>#REF!</v>
      </c>
      <c r="D10" s="1">
        <v>530</v>
      </c>
      <c r="E10" s="1">
        <v>900</v>
      </c>
      <c r="H10" s="1" t="s">
        <v>22</v>
      </c>
      <c r="I10" s="1">
        <v>350</v>
      </c>
      <c r="J10" s="1">
        <v>70</v>
      </c>
      <c r="K10" s="1">
        <v>420</v>
      </c>
      <c r="L10" s="1">
        <v>700</v>
      </c>
    </row>
    <row r="11" spans="1:12" x14ac:dyDescent="0.25">
      <c r="A11" s="1" t="s">
        <v>23</v>
      </c>
      <c r="B11" s="1">
        <v>400</v>
      </c>
      <c r="C11" s="1" t="e">
        <f>#REF!</f>
        <v>#REF!</v>
      </c>
      <c r="D11" s="1">
        <v>470</v>
      </c>
      <c r="E11" s="1">
        <v>800</v>
      </c>
      <c r="H11" s="1" t="s">
        <v>24</v>
      </c>
      <c r="I11" s="1">
        <v>300</v>
      </c>
      <c r="J11" s="1">
        <v>60</v>
      </c>
      <c r="K11" s="1">
        <v>360</v>
      </c>
      <c r="L11" s="1">
        <v>600</v>
      </c>
    </row>
    <row r="12" spans="1:12" x14ac:dyDescent="0.25">
      <c r="A12" s="1" t="s">
        <v>25</v>
      </c>
      <c r="B12" s="1">
        <v>450</v>
      </c>
      <c r="C12" s="1" t="e">
        <f>#REF!</f>
        <v>#REF!</v>
      </c>
      <c r="D12" s="1">
        <v>530</v>
      </c>
      <c r="E12" s="1">
        <v>900</v>
      </c>
      <c r="H12" s="1" t="s">
        <v>26</v>
      </c>
      <c r="I12" s="1">
        <v>500</v>
      </c>
      <c r="J12" s="1">
        <v>90</v>
      </c>
      <c r="K12" s="1">
        <v>590</v>
      </c>
      <c r="L12" s="1">
        <v>1000</v>
      </c>
    </row>
    <row r="13" spans="1:12" x14ac:dyDescent="0.25">
      <c r="A13" s="1" t="s">
        <v>27</v>
      </c>
      <c r="B13" s="1">
        <v>500</v>
      </c>
      <c r="C13" s="1" t="e">
        <f>#REF!</f>
        <v>#REF!</v>
      </c>
      <c r="D13" s="1">
        <v>590</v>
      </c>
      <c r="E13" s="1">
        <v>1000</v>
      </c>
      <c r="H13" s="1" t="s">
        <v>28</v>
      </c>
      <c r="I13" s="1">
        <v>450</v>
      </c>
      <c r="J13" s="1">
        <v>70</v>
      </c>
      <c r="K13" s="1">
        <v>520</v>
      </c>
      <c r="L13" s="1">
        <v>900</v>
      </c>
    </row>
    <row r="14" spans="1:12" ht="13.2" x14ac:dyDescent="0.25">
      <c r="A14" s="1" t="s">
        <v>28</v>
      </c>
      <c r="B14" s="1">
        <v>400</v>
      </c>
      <c r="C14" s="1" t="e">
        <f>#REF!</f>
        <v>#REF!</v>
      </c>
      <c r="D14" s="1">
        <v>470</v>
      </c>
      <c r="E14" s="1">
        <v>800</v>
      </c>
      <c r="H14" s="1" t="s">
        <v>29</v>
      </c>
      <c r="I14" s="1">
        <v>400</v>
      </c>
      <c r="J14" s="1">
        <v>70</v>
      </c>
      <c r="K14" s="1">
        <v>470</v>
      </c>
      <c r="L14" s="1">
        <v>800</v>
      </c>
    </row>
    <row r="15" spans="1:12" ht="13.2" x14ac:dyDescent="0.25">
      <c r="A15" s="1" t="s">
        <v>30</v>
      </c>
      <c r="B15" s="1">
        <v>400</v>
      </c>
      <c r="C15" s="1" t="e">
        <f>#REF!</f>
        <v>#REF!</v>
      </c>
      <c r="D15" s="1">
        <v>470</v>
      </c>
      <c r="E15" s="1">
        <v>800</v>
      </c>
      <c r="H15" s="1" t="s">
        <v>31</v>
      </c>
      <c r="I15" s="1">
        <v>200</v>
      </c>
      <c r="J15" s="1">
        <v>50</v>
      </c>
      <c r="K15" s="1">
        <v>250</v>
      </c>
      <c r="L15" s="1">
        <v>450</v>
      </c>
    </row>
    <row r="16" spans="1:12" ht="13.2" x14ac:dyDescent="0.25">
      <c r="A16" s="1" t="s">
        <v>32</v>
      </c>
      <c r="B16" s="1">
        <v>400</v>
      </c>
      <c r="C16" s="1" t="e">
        <f>#REF!</f>
        <v>#REF!</v>
      </c>
      <c r="D16" s="1">
        <v>470</v>
      </c>
      <c r="E16" s="1">
        <v>800</v>
      </c>
      <c r="H16" s="1" t="s">
        <v>33</v>
      </c>
      <c r="I16" s="1">
        <v>300</v>
      </c>
      <c r="J16" s="1">
        <v>60</v>
      </c>
      <c r="K16" s="1">
        <v>360</v>
      </c>
      <c r="L16" s="1">
        <v>600</v>
      </c>
    </row>
    <row r="17" spans="1:12" ht="13.2" x14ac:dyDescent="0.25">
      <c r="A17" s="1" t="s">
        <v>35</v>
      </c>
      <c r="B17" s="1">
        <v>350</v>
      </c>
      <c r="C17" s="1" t="e">
        <f>#REF!</f>
        <v>#REF!</v>
      </c>
      <c r="D17" s="1">
        <v>410</v>
      </c>
      <c r="E17" s="1">
        <v>700</v>
      </c>
      <c r="H17" s="1" t="s">
        <v>36</v>
      </c>
      <c r="I17" s="1">
        <v>350</v>
      </c>
      <c r="J17" s="1">
        <v>60</v>
      </c>
      <c r="K17" s="1">
        <v>410</v>
      </c>
      <c r="L17" s="1">
        <v>700</v>
      </c>
    </row>
    <row r="18" spans="1:12" ht="13.2" x14ac:dyDescent="0.25">
      <c r="A18" s="1" t="s">
        <v>37</v>
      </c>
      <c r="B18" s="1">
        <v>300</v>
      </c>
      <c r="C18" s="1" t="e">
        <f>#REF!</f>
        <v>#REF!</v>
      </c>
      <c r="D18" s="1">
        <v>350</v>
      </c>
      <c r="E18" s="1">
        <v>600</v>
      </c>
      <c r="H18" s="1" t="s">
        <v>38</v>
      </c>
      <c r="I18" s="1">
        <v>350</v>
      </c>
      <c r="J18" s="1">
        <v>60</v>
      </c>
      <c r="K18" s="1">
        <v>410</v>
      </c>
      <c r="L18" s="1">
        <v>700</v>
      </c>
    </row>
    <row r="19" spans="1:12" ht="13.2" x14ac:dyDescent="0.25">
      <c r="A19" s="1" t="s">
        <v>39</v>
      </c>
      <c r="B19" s="1">
        <v>350</v>
      </c>
      <c r="C19" s="1" t="e">
        <f>#REF!</f>
        <v>#REF!</v>
      </c>
      <c r="D19" s="1">
        <v>410</v>
      </c>
      <c r="E19" s="1">
        <v>700</v>
      </c>
      <c r="H19" s="1" t="s">
        <v>40</v>
      </c>
      <c r="I19" s="1">
        <v>300</v>
      </c>
      <c r="J19" s="1">
        <v>50</v>
      </c>
      <c r="K19" s="1">
        <v>350</v>
      </c>
      <c r="L19" s="1">
        <v>600</v>
      </c>
    </row>
    <row r="20" spans="1:12" ht="13.2" x14ac:dyDescent="0.25">
      <c r="A20" s="1" t="s">
        <v>41</v>
      </c>
      <c r="B20" s="1">
        <v>400</v>
      </c>
      <c r="C20" s="1" t="e">
        <f>#REF!</f>
        <v>#REF!</v>
      </c>
      <c r="D20" s="1">
        <v>470</v>
      </c>
      <c r="E20" s="1">
        <v>800</v>
      </c>
      <c r="H20" s="1" t="s">
        <v>42</v>
      </c>
      <c r="I20" s="1">
        <v>300</v>
      </c>
      <c r="J20" s="1">
        <v>50</v>
      </c>
      <c r="K20" s="1">
        <v>350</v>
      </c>
      <c r="L20" s="1">
        <v>600</v>
      </c>
    </row>
    <row r="21" spans="1:12" ht="13.2" x14ac:dyDescent="0.25">
      <c r="A21" s="1" t="s">
        <v>43</v>
      </c>
      <c r="B21" s="1">
        <v>350</v>
      </c>
      <c r="C21" s="1" t="e">
        <f>#REF!</f>
        <v>#REF!</v>
      </c>
      <c r="D21" s="1">
        <v>410</v>
      </c>
      <c r="E21" s="1">
        <v>700</v>
      </c>
      <c r="H21" s="1" t="s">
        <v>44</v>
      </c>
      <c r="I21" s="1">
        <v>300</v>
      </c>
      <c r="J21" s="1">
        <v>50</v>
      </c>
      <c r="K21" s="1">
        <v>350</v>
      </c>
      <c r="L21" s="1">
        <v>600</v>
      </c>
    </row>
    <row r="23" spans="1:12" ht="15.6" x14ac:dyDescent="0.3">
      <c r="A23" s="16" t="s">
        <v>45</v>
      </c>
    </row>
    <row r="25" spans="1:12" ht="13.2" x14ac:dyDescent="0.25">
      <c r="A25" s="4" t="s">
        <v>3</v>
      </c>
      <c r="B25" s="4" t="s">
        <v>4</v>
      </c>
      <c r="C25" s="4" t="s">
        <v>63</v>
      </c>
      <c r="D25" s="4" t="s">
        <v>64</v>
      </c>
      <c r="E25" s="4" t="s">
        <v>65</v>
      </c>
    </row>
    <row r="26" spans="1:12" ht="13.2" x14ac:dyDescent="0.25">
      <c r="A26" s="1" t="s">
        <v>48</v>
      </c>
      <c r="B26" s="1">
        <v>200</v>
      </c>
      <c r="C26" s="1">
        <v>50</v>
      </c>
      <c r="D26" s="1">
        <v>250</v>
      </c>
      <c r="E26" s="1">
        <v>450</v>
      </c>
      <c r="H26" s="6"/>
    </row>
    <row r="27" spans="1:12" ht="13.2" x14ac:dyDescent="0.25">
      <c r="A27" s="1" t="s">
        <v>49</v>
      </c>
      <c r="B27" s="1">
        <v>250</v>
      </c>
      <c r="C27" s="1">
        <v>60</v>
      </c>
      <c r="D27" s="1">
        <v>310</v>
      </c>
      <c r="E27" s="1">
        <v>550</v>
      </c>
      <c r="H27" s="10"/>
      <c r="I27" s="10"/>
    </row>
    <row r="28" spans="1:12" ht="13.2" x14ac:dyDescent="0.25">
      <c r="A28" s="1" t="s">
        <v>50</v>
      </c>
      <c r="B28" s="1">
        <v>300</v>
      </c>
      <c r="C28" s="1">
        <v>60</v>
      </c>
      <c r="D28" s="1">
        <v>360</v>
      </c>
      <c r="E28" s="1">
        <v>600</v>
      </c>
      <c r="H28" s="6"/>
      <c r="I28" s="6"/>
    </row>
    <row r="29" spans="1:12" ht="13.2" x14ac:dyDescent="0.25">
      <c r="A29" s="1" t="s">
        <v>51</v>
      </c>
      <c r="B29" s="1">
        <v>350</v>
      </c>
      <c r="C29" s="1">
        <v>70</v>
      </c>
      <c r="D29" s="1">
        <v>420</v>
      </c>
      <c r="E29" s="1">
        <v>700</v>
      </c>
      <c r="H29" s="6"/>
      <c r="I29" s="6"/>
    </row>
    <row r="30" spans="1:12" ht="13.2" x14ac:dyDescent="0.25">
      <c r="A30" s="1" t="s">
        <v>52</v>
      </c>
      <c r="B30" s="1">
        <v>350</v>
      </c>
      <c r="C30" s="1">
        <v>70</v>
      </c>
      <c r="D30" s="1">
        <v>420</v>
      </c>
      <c r="E30" s="1">
        <v>700</v>
      </c>
      <c r="H30" s="6"/>
      <c r="I30" s="6"/>
    </row>
    <row r="31" spans="1:12" ht="13.2" x14ac:dyDescent="0.25">
      <c r="H31" s="6"/>
      <c r="I31" s="6"/>
    </row>
    <row r="32" spans="1:12" ht="13.2" x14ac:dyDescent="0.25">
      <c r="H32" s="6"/>
    </row>
    <row r="33" spans="8:9" ht="13.2" x14ac:dyDescent="0.25">
      <c r="H33" s="10"/>
      <c r="I33" s="10"/>
    </row>
    <row r="34" spans="8:9" ht="13.2" x14ac:dyDescent="0.25">
      <c r="H34" s="6"/>
      <c r="I34" s="17"/>
    </row>
    <row r="35" spans="8:9" ht="13.2" x14ac:dyDescent="0.25">
      <c r="H35" s="6"/>
      <c r="I35" s="17"/>
    </row>
    <row r="36" spans="8:9" ht="13.2" x14ac:dyDescent="0.25">
      <c r="H36" s="6"/>
      <c r="I36" s="17"/>
    </row>
    <row r="37" spans="8:9" ht="13.2" x14ac:dyDescent="0.25">
      <c r="H37" s="6"/>
      <c r="I37" s="17"/>
    </row>
    <row r="38" spans="8:9" ht="13.2" x14ac:dyDescent="0.25">
      <c r="H38" s="6"/>
      <c r="I38" s="17"/>
    </row>
    <row r="39" spans="8:9" ht="13.2" x14ac:dyDescent="0.25">
      <c r="H39" s="6"/>
      <c r="I39" s="17"/>
    </row>
    <row r="40" spans="8:9" ht="13.2" x14ac:dyDescent="0.25">
      <c r="H40" s="6"/>
      <c r="I40" s="17"/>
    </row>
    <row r="41" spans="8:9" ht="13.2" x14ac:dyDescent="0.25">
      <c r="H41" s="6"/>
      <c r="I41" s="17"/>
    </row>
    <row r="42" spans="8:9" ht="13.2" x14ac:dyDescent="0.25">
      <c r="H42" s="6"/>
      <c r="I42" s="17"/>
    </row>
    <row r="43" spans="8:9" ht="13.2" x14ac:dyDescent="0.25">
      <c r="H43" s="6"/>
    </row>
    <row r="44" spans="8:9" ht="13.2" x14ac:dyDescent="0.25">
      <c r="H44" s="10"/>
      <c r="I44" s="10"/>
    </row>
    <row r="45" spans="8:9" ht="13.2" x14ac:dyDescent="0.25">
      <c r="H45" s="6"/>
      <c r="I45" s="6"/>
    </row>
    <row r="46" spans="8:9" ht="13.2" x14ac:dyDescent="0.25">
      <c r="H46" s="6"/>
      <c r="I46" s="6"/>
    </row>
    <row r="47" spans="8:9" ht="13.2" x14ac:dyDescent="0.25">
      <c r="H47" s="6"/>
      <c r="I47" s="6"/>
    </row>
    <row r="48" spans="8:9" ht="13.2" x14ac:dyDescent="0.25">
      <c r="H48" s="6"/>
      <c r="I48" s="17"/>
    </row>
    <row r="49" spans="8:9" ht="13.2" x14ac:dyDescent="0.25">
      <c r="H49" s="6"/>
      <c r="I4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EFDD-13BF-4ED8-A0AD-29A5274382D0}">
  <dimension ref="A1:G72"/>
  <sheetViews>
    <sheetView tabSelected="1" topLeftCell="A60" workbookViewId="0">
      <selection activeCell="F52" sqref="F52"/>
    </sheetView>
  </sheetViews>
  <sheetFormatPr defaultRowHeight="13.2" x14ac:dyDescent="0.25"/>
  <cols>
    <col min="2" max="2" width="38.44140625" bestFit="1" customWidth="1"/>
    <col min="6" max="6" width="43.21875" bestFit="1" customWidth="1"/>
  </cols>
  <sheetData>
    <row r="1" spans="1:7" x14ac:dyDescent="0.25">
      <c r="A1" t="s">
        <v>0</v>
      </c>
      <c r="E1" t="s">
        <v>1</v>
      </c>
    </row>
    <row r="3" spans="1:7" x14ac:dyDescent="0.25">
      <c r="A3" t="s">
        <v>2</v>
      </c>
      <c r="B3" t="s">
        <v>3</v>
      </c>
      <c r="C3" t="s">
        <v>68</v>
      </c>
      <c r="E3" t="s">
        <v>2</v>
      </c>
      <c r="F3" t="s">
        <v>3</v>
      </c>
      <c r="G3" t="s">
        <v>69</v>
      </c>
    </row>
    <row r="4" spans="1:7" x14ac:dyDescent="0.25">
      <c r="A4" t="s">
        <v>7</v>
      </c>
      <c r="B4" t="s">
        <v>8</v>
      </c>
      <c r="C4">
        <v>800</v>
      </c>
      <c r="E4" t="s">
        <v>7</v>
      </c>
      <c r="F4" t="s">
        <v>9</v>
      </c>
      <c r="G4">
        <v>730</v>
      </c>
    </row>
    <row r="5" spans="1:7" x14ac:dyDescent="0.25">
      <c r="B5" t="s">
        <v>70</v>
      </c>
      <c r="C5">
        <v>620</v>
      </c>
      <c r="F5" t="s">
        <v>13</v>
      </c>
      <c r="G5">
        <v>1120</v>
      </c>
    </row>
    <row r="6" spans="1:7" x14ac:dyDescent="0.25">
      <c r="B6" t="s">
        <v>71</v>
      </c>
      <c r="C6">
        <v>900</v>
      </c>
      <c r="F6" s="25" t="s">
        <v>286</v>
      </c>
      <c r="G6">
        <v>670</v>
      </c>
    </row>
    <row r="7" spans="1:7" x14ac:dyDescent="0.25">
      <c r="B7" t="s">
        <v>106</v>
      </c>
      <c r="C7">
        <v>740</v>
      </c>
      <c r="F7" t="s">
        <v>72</v>
      </c>
      <c r="G7">
        <v>1060</v>
      </c>
    </row>
    <row r="8" spans="1:7" x14ac:dyDescent="0.25">
      <c r="B8" t="s">
        <v>73</v>
      </c>
      <c r="C8">
        <v>600</v>
      </c>
      <c r="F8" t="s">
        <v>101</v>
      </c>
      <c r="G8">
        <v>720</v>
      </c>
    </row>
    <row r="9" spans="1:7" x14ac:dyDescent="0.25">
      <c r="A9" t="s">
        <v>16</v>
      </c>
      <c r="B9" t="s">
        <v>74</v>
      </c>
      <c r="C9">
        <v>1050</v>
      </c>
      <c r="E9" t="s">
        <v>16</v>
      </c>
      <c r="F9" t="s">
        <v>20</v>
      </c>
      <c r="G9">
        <v>1120</v>
      </c>
    </row>
    <row r="10" spans="1:7" ht="13.8" thickBot="1" x14ac:dyDescent="0.3">
      <c r="B10" t="s">
        <v>76</v>
      </c>
      <c r="C10">
        <v>1160</v>
      </c>
      <c r="F10" t="s">
        <v>75</v>
      </c>
      <c r="G10">
        <v>1140</v>
      </c>
    </row>
    <row r="11" spans="1:7" ht="13.8" thickBot="1" x14ac:dyDescent="0.3">
      <c r="B11" s="26" t="s">
        <v>287</v>
      </c>
      <c r="C11" s="28">
        <v>1120</v>
      </c>
      <c r="F11" t="s">
        <v>77</v>
      </c>
      <c r="G11">
        <v>1050</v>
      </c>
    </row>
    <row r="12" spans="1:7" ht="13.8" thickBot="1" x14ac:dyDescent="0.3">
      <c r="B12" s="27" t="s">
        <v>288</v>
      </c>
      <c r="C12" s="29">
        <v>1250</v>
      </c>
      <c r="F12" t="s">
        <v>79</v>
      </c>
      <c r="G12">
        <v>1170</v>
      </c>
    </row>
    <row r="13" spans="1:7" x14ac:dyDescent="0.25">
      <c r="B13" t="s">
        <v>78</v>
      </c>
      <c r="C13">
        <v>1160</v>
      </c>
      <c r="F13" t="s">
        <v>81</v>
      </c>
      <c r="G13">
        <v>1220</v>
      </c>
    </row>
    <row r="14" spans="1:7" x14ac:dyDescent="0.25">
      <c r="B14" t="s">
        <v>80</v>
      </c>
      <c r="C14">
        <v>1260</v>
      </c>
      <c r="F14" t="s">
        <v>83</v>
      </c>
      <c r="G14">
        <v>1330</v>
      </c>
    </row>
    <row r="15" spans="1:7" x14ac:dyDescent="0.25">
      <c r="B15" t="s">
        <v>82</v>
      </c>
      <c r="C15">
        <v>1420</v>
      </c>
      <c r="F15" t="s">
        <v>85</v>
      </c>
      <c r="G15">
        <v>1120</v>
      </c>
    </row>
    <row r="16" spans="1:7" x14ac:dyDescent="0.25">
      <c r="B16" t="s">
        <v>84</v>
      </c>
      <c r="C16">
        <v>1320</v>
      </c>
      <c r="F16" t="s">
        <v>87</v>
      </c>
      <c r="G16">
        <v>720</v>
      </c>
    </row>
    <row r="17" spans="1:7" x14ac:dyDescent="0.25">
      <c r="B17" t="s">
        <v>86</v>
      </c>
      <c r="C17">
        <v>1200</v>
      </c>
      <c r="F17" t="s">
        <v>89</v>
      </c>
      <c r="G17">
        <v>1000</v>
      </c>
    </row>
    <row r="18" spans="1:7" x14ac:dyDescent="0.25">
      <c r="B18" t="s">
        <v>136</v>
      </c>
      <c r="C18">
        <v>760</v>
      </c>
      <c r="F18" t="s">
        <v>91</v>
      </c>
      <c r="G18">
        <v>1060</v>
      </c>
    </row>
    <row r="19" spans="1:7" x14ac:dyDescent="0.25">
      <c r="B19" t="s">
        <v>88</v>
      </c>
      <c r="C19">
        <v>1060</v>
      </c>
      <c r="F19" t="s">
        <v>103</v>
      </c>
      <c r="G19">
        <v>1080</v>
      </c>
    </row>
    <row r="20" spans="1:7" x14ac:dyDescent="0.25">
      <c r="B20" t="s">
        <v>90</v>
      </c>
      <c r="C20">
        <v>1100</v>
      </c>
      <c r="F20" t="s">
        <v>104</v>
      </c>
      <c r="G20">
        <v>880</v>
      </c>
    </row>
    <row r="21" spans="1:7" x14ac:dyDescent="0.25">
      <c r="B21" t="s">
        <v>92</v>
      </c>
      <c r="C21">
        <v>1200</v>
      </c>
      <c r="E21" t="s">
        <v>34</v>
      </c>
      <c r="F21" t="s">
        <v>93</v>
      </c>
      <c r="G21">
        <v>1180</v>
      </c>
    </row>
    <row r="22" spans="1:7" x14ac:dyDescent="0.25">
      <c r="B22" t="s">
        <v>30</v>
      </c>
      <c r="C22">
        <v>1150</v>
      </c>
      <c r="F22" t="s">
        <v>40</v>
      </c>
      <c r="G22">
        <v>600</v>
      </c>
    </row>
    <row r="23" spans="1:7" x14ac:dyDescent="0.25">
      <c r="B23" t="s">
        <v>94</v>
      </c>
      <c r="C23">
        <v>1370</v>
      </c>
      <c r="F23" t="s">
        <v>95</v>
      </c>
      <c r="G23">
        <v>560</v>
      </c>
    </row>
    <row r="24" spans="1:7" x14ac:dyDescent="0.25">
      <c r="B24" t="s">
        <v>96</v>
      </c>
      <c r="C24">
        <v>1380</v>
      </c>
      <c r="F24" t="s">
        <v>97</v>
      </c>
      <c r="G24">
        <v>500</v>
      </c>
    </row>
    <row r="25" spans="1:7" x14ac:dyDescent="0.25">
      <c r="B25" t="s">
        <v>107</v>
      </c>
      <c r="C25">
        <v>1180</v>
      </c>
      <c r="F25" t="s">
        <v>99</v>
      </c>
      <c r="G25">
        <v>450</v>
      </c>
    </row>
    <row r="26" spans="1:7" x14ac:dyDescent="0.25">
      <c r="A26" t="s">
        <v>34</v>
      </c>
      <c r="B26" t="s">
        <v>98</v>
      </c>
      <c r="C26">
        <v>1260</v>
      </c>
    </row>
    <row r="27" spans="1:7" x14ac:dyDescent="0.25">
      <c r="B27" t="s">
        <v>100</v>
      </c>
      <c r="C27">
        <v>1200</v>
      </c>
    </row>
    <row r="28" spans="1:7" x14ac:dyDescent="0.25">
      <c r="B28" t="s">
        <v>102</v>
      </c>
      <c r="C28">
        <v>760</v>
      </c>
    </row>
    <row r="29" spans="1:7" x14ac:dyDescent="0.25">
      <c r="B29" t="s">
        <v>41</v>
      </c>
      <c r="C29">
        <v>900</v>
      </c>
    </row>
    <row r="30" spans="1:7" x14ac:dyDescent="0.25">
      <c r="B30" t="s">
        <v>105</v>
      </c>
      <c r="C30">
        <v>700</v>
      </c>
      <c r="F30" t="s">
        <v>3</v>
      </c>
      <c r="G30" t="s">
        <v>68</v>
      </c>
    </row>
    <row r="31" spans="1:7" x14ac:dyDescent="0.25">
      <c r="E31" t="s">
        <v>137</v>
      </c>
      <c r="F31" t="s">
        <v>138</v>
      </c>
      <c r="G31">
        <v>1730</v>
      </c>
    </row>
    <row r="32" spans="1:7" x14ac:dyDescent="0.25">
      <c r="F32" t="s">
        <v>139</v>
      </c>
      <c r="G32">
        <v>3080</v>
      </c>
    </row>
    <row r="33" spans="1:7" x14ac:dyDescent="0.25">
      <c r="A33" t="s">
        <v>45</v>
      </c>
      <c r="B33" t="s">
        <v>3</v>
      </c>
      <c r="C33" t="s">
        <v>68</v>
      </c>
      <c r="F33" t="s">
        <v>140</v>
      </c>
      <c r="G33">
        <v>4000</v>
      </c>
    </row>
    <row r="34" spans="1:7" x14ac:dyDescent="0.25">
      <c r="B34" t="s">
        <v>50</v>
      </c>
      <c r="C34">
        <v>1120</v>
      </c>
    </row>
    <row r="35" spans="1:7" x14ac:dyDescent="0.25">
      <c r="E35" t="s">
        <v>141</v>
      </c>
      <c r="F35" t="s">
        <v>138</v>
      </c>
      <c r="G35">
        <v>1330</v>
      </c>
    </row>
    <row r="36" spans="1:7" x14ac:dyDescent="0.25">
      <c r="A36" t="s">
        <v>54</v>
      </c>
      <c r="F36" t="s">
        <v>139</v>
      </c>
      <c r="G36">
        <v>2300</v>
      </c>
    </row>
    <row r="37" spans="1:7" x14ac:dyDescent="0.25">
      <c r="F37" t="s">
        <v>140</v>
      </c>
      <c r="G37">
        <v>3000</v>
      </c>
    </row>
    <row r="38" spans="1:7" x14ac:dyDescent="0.25">
      <c r="B38" t="s">
        <v>3</v>
      </c>
      <c r="C38" t="s">
        <v>68</v>
      </c>
    </row>
    <row r="39" spans="1:7" x14ac:dyDescent="0.25">
      <c r="B39" t="s">
        <v>109</v>
      </c>
      <c r="C39">
        <v>800</v>
      </c>
    </row>
    <row r="40" spans="1:7" x14ac:dyDescent="0.25">
      <c r="B40" t="s">
        <v>110</v>
      </c>
      <c r="C40">
        <v>900</v>
      </c>
    </row>
    <row r="42" spans="1:7" x14ac:dyDescent="0.25">
      <c r="A42" t="s">
        <v>111</v>
      </c>
      <c r="B42" t="s">
        <v>3</v>
      </c>
      <c r="C42" t="s">
        <v>67</v>
      </c>
      <c r="F42" s="30" t="s">
        <v>291</v>
      </c>
    </row>
    <row r="43" spans="1:7" x14ac:dyDescent="0.25">
      <c r="B43" t="s">
        <v>112</v>
      </c>
      <c r="C43">
        <v>1070</v>
      </c>
      <c r="F43" s="30" t="s">
        <v>292</v>
      </c>
      <c r="G43">
        <v>110</v>
      </c>
    </row>
    <row r="44" spans="1:7" x14ac:dyDescent="0.25">
      <c r="B44" t="s">
        <v>113</v>
      </c>
      <c r="C44">
        <v>880</v>
      </c>
      <c r="F44" s="30" t="s">
        <v>293</v>
      </c>
      <c r="G44">
        <v>100</v>
      </c>
    </row>
    <row r="45" spans="1:7" x14ac:dyDescent="0.25">
      <c r="B45" t="s">
        <v>114</v>
      </c>
      <c r="C45">
        <v>1000</v>
      </c>
      <c r="F45" s="30" t="s">
        <v>294</v>
      </c>
      <c r="G45">
        <v>130</v>
      </c>
    </row>
    <row r="46" spans="1:7" x14ac:dyDescent="0.25">
      <c r="B46" t="s">
        <v>115</v>
      </c>
      <c r="C46">
        <v>870</v>
      </c>
      <c r="F46" s="30" t="s">
        <v>295</v>
      </c>
      <c r="G46">
        <v>230</v>
      </c>
    </row>
    <row r="47" spans="1:7" x14ac:dyDescent="0.25">
      <c r="B47" t="s">
        <v>116</v>
      </c>
      <c r="C47">
        <v>1100</v>
      </c>
      <c r="F47" s="30" t="s">
        <v>296</v>
      </c>
      <c r="G47">
        <v>330</v>
      </c>
    </row>
    <row r="48" spans="1:7" x14ac:dyDescent="0.25">
      <c r="B48" t="s">
        <v>117</v>
      </c>
      <c r="C48">
        <v>950</v>
      </c>
      <c r="F48" s="30" t="s">
        <v>297</v>
      </c>
      <c r="G48">
        <v>330</v>
      </c>
    </row>
    <row r="49" spans="1:7" x14ac:dyDescent="0.25">
      <c r="B49" s="25" t="s">
        <v>289</v>
      </c>
      <c r="C49">
        <v>1070</v>
      </c>
      <c r="F49" s="30" t="s">
        <v>298</v>
      </c>
      <c r="G49">
        <v>50</v>
      </c>
    </row>
    <row r="50" spans="1:7" x14ac:dyDescent="0.25">
      <c r="F50" s="30" t="s">
        <v>299</v>
      </c>
      <c r="G50">
        <v>50</v>
      </c>
    </row>
    <row r="51" spans="1:7" x14ac:dyDescent="0.25">
      <c r="A51" t="s">
        <v>118</v>
      </c>
      <c r="B51" t="s">
        <v>3</v>
      </c>
      <c r="C51" t="s">
        <v>68</v>
      </c>
      <c r="F51" s="30" t="s">
        <v>300</v>
      </c>
      <c r="G51">
        <v>70</v>
      </c>
    </row>
    <row r="52" spans="1:7" x14ac:dyDescent="0.25">
      <c r="B52" t="s">
        <v>119</v>
      </c>
      <c r="C52">
        <v>1090</v>
      </c>
    </row>
    <row r="53" spans="1:7" x14ac:dyDescent="0.25">
      <c r="B53" t="s">
        <v>120</v>
      </c>
      <c r="C53">
        <v>870</v>
      </c>
    </row>
    <row r="54" spans="1:7" x14ac:dyDescent="0.25">
      <c r="B54" t="s">
        <v>121</v>
      </c>
      <c r="C54">
        <v>1200</v>
      </c>
    </row>
    <row r="56" spans="1:7" x14ac:dyDescent="0.25">
      <c r="A56" t="s">
        <v>122</v>
      </c>
      <c r="B56" t="s">
        <v>3</v>
      </c>
      <c r="C56" t="s">
        <v>68</v>
      </c>
    </row>
    <row r="57" spans="1:7" x14ac:dyDescent="0.25">
      <c r="B57" t="s">
        <v>123</v>
      </c>
      <c r="C57">
        <v>1560</v>
      </c>
    </row>
    <row r="58" spans="1:7" x14ac:dyDescent="0.25">
      <c r="B58" t="s">
        <v>124</v>
      </c>
      <c r="C58">
        <v>920</v>
      </c>
    </row>
    <row r="59" spans="1:7" x14ac:dyDescent="0.25">
      <c r="B59" t="s">
        <v>125</v>
      </c>
      <c r="C59">
        <v>820</v>
      </c>
    </row>
    <row r="60" spans="1:7" x14ac:dyDescent="0.25">
      <c r="B60" t="s">
        <v>126</v>
      </c>
      <c r="C60">
        <v>870</v>
      </c>
    </row>
    <row r="61" spans="1:7" x14ac:dyDescent="0.25">
      <c r="B61" t="s">
        <v>127</v>
      </c>
      <c r="C61">
        <v>1470</v>
      </c>
    </row>
    <row r="62" spans="1:7" x14ac:dyDescent="0.25">
      <c r="B62" t="s">
        <v>128</v>
      </c>
      <c r="C62">
        <v>1200</v>
      </c>
    </row>
    <row r="63" spans="1:7" x14ac:dyDescent="0.25">
      <c r="B63" t="s">
        <v>129</v>
      </c>
      <c r="C63">
        <v>920</v>
      </c>
    </row>
    <row r="64" spans="1:7" x14ac:dyDescent="0.25">
      <c r="B64" s="25" t="s">
        <v>290</v>
      </c>
      <c r="C64">
        <v>1100</v>
      </c>
    </row>
    <row r="66" spans="1:3" x14ac:dyDescent="0.25">
      <c r="A66" t="s">
        <v>130</v>
      </c>
      <c r="B66" t="s">
        <v>3</v>
      </c>
      <c r="C66" t="s">
        <v>68</v>
      </c>
    </row>
    <row r="67" spans="1:3" x14ac:dyDescent="0.25">
      <c r="B67" t="s">
        <v>131</v>
      </c>
      <c r="C67">
        <v>700</v>
      </c>
    </row>
    <row r="68" spans="1:3" x14ac:dyDescent="0.25">
      <c r="B68" t="s">
        <v>132</v>
      </c>
      <c r="C68">
        <v>500</v>
      </c>
    </row>
    <row r="69" spans="1:3" x14ac:dyDescent="0.25">
      <c r="B69" t="s">
        <v>133</v>
      </c>
      <c r="C69">
        <v>580</v>
      </c>
    </row>
    <row r="70" spans="1:3" x14ac:dyDescent="0.25">
      <c r="B70" t="s">
        <v>134</v>
      </c>
      <c r="C70">
        <v>460</v>
      </c>
    </row>
    <row r="71" spans="1:3" x14ac:dyDescent="0.25">
      <c r="B71" t="s">
        <v>135</v>
      </c>
      <c r="C71">
        <v>520</v>
      </c>
    </row>
    <row r="72" spans="1:3" x14ac:dyDescent="0.25">
      <c r="B72" t="s">
        <v>108</v>
      </c>
      <c r="C72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"/>
  <sheetViews>
    <sheetView workbookViewId="0"/>
  </sheetViews>
  <sheetFormatPr defaultColWidth="12.6640625" defaultRowHeight="15.75" customHeight="1" x14ac:dyDescent="0.25"/>
  <cols>
    <col min="5" max="6" width="14.21875" customWidth="1"/>
  </cols>
  <sheetData>
    <row r="1" spans="1:7" x14ac:dyDescent="0.25">
      <c r="A1" s="8" t="s">
        <v>142</v>
      </c>
      <c r="B1" s="8" t="s">
        <v>66</v>
      </c>
      <c r="C1" s="8" t="s">
        <v>143</v>
      </c>
      <c r="D1" s="8" t="s">
        <v>144</v>
      </c>
      <c r="E1" s="8"/>
      <c r="F1" s="8" t="s">
        <v>145</v>
      </c>
      <c r="G1" s="8" t="s">
        <v>146</v>
      </c>
    </row>
    <row r="2" spans="1:7" x14ac:dyDescent="0.25">
      <c r="A2" s="8" t="s">
        <v>147</v>
      </c>
      <c r="B2" s="8" t="e">
        <f>SUM(#REF!)</f>
        <v>#REF!</v>
      </c>
      <c r="C2" s="8">
        <v>1000</v>
      </c>
      <c r="D2" s="8">
        <v>200</v>
      </c>
      <c r="E2" s="8">
        <f>C2-D2</f>
        <v>800</v>
      </c>
      <c r="F2" s="8">
        <f>E2*0.7</f>
        <v>560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Z22"/>
  <sheetViews>
    <sheetView workbookViewId="0"/>
  </sheetViews>
  <sheetFormatPr defaultColWidth="12.6640625" defaultRowHeight="15.75" customHeight="1" x14ac:dyDescent="0.25"/>
  <cols>
    <col min="1" max="1" width="61" customWidth="1"/>
    <col min="2" max="2" width="34.21875" customWidth="1"/>
    <col min="3" max="3" width="31.21875" customWidth="1"/>
  </cols>
  <sheetData>
    <row r="3" spans="1:26" ht="15.75" customHeight="1" x14ac:dyDescent="0.3">
      <c r="A3" s="19" t="s">
        <v>148</v>
      </c>
    </row>
    <row r="4" spans="1:26" ht="15.75" customHeight="1" x14ac:dyDescent="0.3">
      <c r="A4" s="20" t="s">
        <v>3</v>
      </c>
      <c r="B4" s="20" t="s">
        <v>149</v>
      </c>
      <c r="C4" s="20" t="s">
        <v>150</v>
      </c>
    </row>
    <row r="5" spans="1:26" x14ac:dyDescent="0.25">
      <c r="A5" s="21" t="s">
        <v>151</v>
      </c>
      <c r="B5" s="21" t="s">
        <v>152</v>
      </c>
      <c r="C5" s="21" t="s">
        <v>153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x14ac:dyDescent="0.25">
      <c r="A6" s="21" t="s">
        <v>154</v>
      </c>
      <c r="B6" s="21" t="s">
        <v>155</v>
      </c>
      <c r="C6" s="21" t="s">
        <v>156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x14ac:dyDescent="0.25">
      <c r="A7" s="21" t="s">
        <v>157</v>
      </c>
      <c r="B7" s="21" t="s">
        <v>158</v>
      </c>
      <c r="C7" s="21" t="s">
        <v>159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x14ac:dyDescent="0.25">
      <c r="A8" s="21" t="s">
        <v>160</v>
      </c>
      <c r="B8" s="21" t="s">
        <v>161</v>
      </c>
      <c r="C8" s="21" t="s">
        <v>162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3">
      <c r="A9" s="19" t="s">
        <v>163</v>
      </c>
    </row>
    <row r="10" spans="1:26" ht="15.75" customHeight="1" x14ac:dyDescent="0.3">
      <c r="A10" s="20" t="s">
        <v>3</v>
      </c>
      <c r="B10" s="20" t="s">
        <v>149</v>
      </c>
      <c r="C10" s="20" t="s">
        <v>150</v>
      </c>
    </row>
    <row r="11" spans="1:26" x14ac:dyDescent="0.25">
      <c r="A11" s="21" t="s">
        <v>164</v>
      </c>
      <c r="B11" s="21" t="s">
        <v>165</v>
      </c>
      <c r="C11" s="21" t="s">
        <v>153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x14ac:dyDescent="0.25">
      <c r="A12" s="21" t="s">
        <v>166</v>
      </c>
      <c r="B12" s="21" t="s">
        <v>167</v>
      </c>
      <c r="C12" s="21" t="s">
        <v>168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x14ac:dyDescent="0.25">
      <c r="A13" s="21" t="s">
        <v>169</v>
      </c>
      <c r="B13" s="21" t="s">
        <v>170</v>
      </c>
      <c r="C13" s="21" t="s">
        <v>171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3.2" x14ac:dyDescent="0.25">
      <c r="A14" s="21" t="s">
        <v>172</v>
      </c>
      <c r="B14" s="21" t="s">
        <v>173</v>
      </c>
      <c r="C14" s="21" t="s">
        <v>174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7.399999999999999" x14ac:dyDescent="0.3">
      <c r="A15" s="19" t="s">
        <v>175</v>
      </c>
    </row>
    <row r="16" spans="1:26" ht="17.399999999999999" x14ac:dyDescent="0.3">
      <c r="A16" s="20" t="s">
        <v>3</v>
      </c>
      <c r="B16" s="20" t="s">
        <v>149</v>
      </c>
      <c r="C16" s="20" t="s">
        <v>150</v>
      </c>
    </row>
    <row r="17" spans="1:26" ht="13.2" x14ac:dyDescent="0.25">
      <c r="A17" s="21" t="s">
        <v>176</v>
      </c>
      <c r="B17" s="21" t="s">
        <v>177</v>
      </c>
      <c r="C17" s="21" t="s">
        <v>153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3.2" x14ac:dyDescent="0.25">
      <c r="A18" s="21" t="s">
        <v>178</v>
      </c>
      <c r="B18" s="21" t="s">
        <v>179</v>
      </c>
      <c r="C18" s="21" t="s">
        <v>156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3.2" x14ac:dyDescent="0.25">
      <c r="A19" s="21" t="s">
        <v>180</v>
      </c>
      <c r="B19" s="21" t="s">
        <v>181</v>
      </c>
      <c r="C19" s="21" t="s">
        <v>159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3.2" x14ac:dyDescent="0.25">
      <c r="A20" s="21" t="s">
        <v>182</v>
      </c>
      <c r="B20" s="21" t="s">
        <v>183</v>
      </c>
      <c r="C20" s="21" t="s">
        <v>162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7.399999999999999" x14ac:dyDescent="0.3">
      <c r="A21" s="19"/>
    </row>
    <row r="22" spans="1:26" ht="17.399999999999999" x14ac:dyDescent="0.3">
      <c r="A22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74"/>
  <sheetViews>
    <sheetView workbookViewId="0"/>
  </sheetViews>
  <sheetFormatPr defaultColWidth="12.6640625" defaultRowHeight="15.75" customHeight="1" x14ac:dyDescent="0.25"/>
  <cols>
    <col min="1" max="1" width="146.88671875" customWidth="1"/>
    <col min="4" max="4" width="124.77734375" customWidth="1"/>
    <col min="7" max="7" width="198.88671875" customWidth="1"/>
  </cols>
  <sheetData>
    <row r="1" spans="1:7" ht="22.8" x14ac:dyDescent="0.4">
      <c r="A1" s="23" t="s">
        <v>0</v>
      </c>
      <c r="D1" s="24" t="s">
        <v>187</v>
      </c>
      <c r="G1" s="19" t="s">
        <v>189</v>
      </c>
    </row>
    <row r="2" spans="1:7" ht="17.399999999999999" x14ac:dyDescent="0.3">
      <c r="A2" s="19" t="s">
        <v>7</v>
      </c>
      <c r="D2" s="19" t="s">
        <v>7</v>
      </c>
      <c r="G2" s="6" t="s">
        <v>190</v>
      </c>
    </row>
    <row r="3" spans="1:7" ht="13.2" x14ac:dyDescent="0.25">
      <c r="A3" s="6" t="s">
        <v>8</v>
      </c>
      <c r="D3" s="6" t="s">
        <v>9</v>
      </c>
      <c r="G3" s="6"/>
    </row>
    <row r="4" spans="1:7" ht="13.2" x14ac:dyDescent="0.25">
      <c r="A4" s="6"/>
      <c r="D4" s="6"/>
      <c r="G4" s="6" t="s">
        <v>191</v>
      </c>
    </row>
    <row r="5" spans="1:7" ht="13.2" x14ac:dyDescent="0.25">
      <c r="A5" s="6" t="s">
        <v>192</v>
      </c>
      <c r="D5" s="6" t="s">
        <v>193</v>
      </c>
      <c r="G5" s="6"/>
    </row>
    <row r="6" spans="1:7" ht="15" customHeight="1" x14ac:dyDescent="0.25">
      <c r="A6" s="6"/>
      <c r="D6" s="6" t="s">
        <v>194</v>
      </c>
      <c r="G6" s="6" t="s">
        <v>194</v>
      </c>
    </row>
    <row r="7" spans="1:7" ht="13.2" x14ac:dyDescent="0.25">
      <c r="A7" s="6" t="s">
        <v>194</v>
      </c>
      <c r="D7" s="8" t="s">
        <v>195</v>
      </c>
      <c r="G7" s="8" t="s">
        <v>196</v>
      </c>
    </row>
    <row r="8" spans="1:7" ht="13.2" x14ac:dyDescent="0.25">
      <c r="A8" s="8" t="s">
        <v>197</v>
      </c>
      <c r="D8" s="8" t="s">
        <v>198</v>
      </c>
      <c r="G8" s="8" t="s">
        <v>199</v>
      </c>
    </row>
    <row r="9" spans="1:7" ht="13.2" x14ac:dyDescent="0.25">
      <c r="A9" s="18" t="s">
        <v>200</v>
      </c>
      <c r="D9" s="8" t="s">
        <v>201</v>
      </c>
      <c r="G9" s="18" t="s">
        <v>202</v>
      </c>
    </row>
    <row r="10" spans="1:7" ht="13.2" x14ac:dyDescent="0.25">
      <c r="A10" s="18" t="s">
        <v>203</v>
      </c>
      <c r="D10" s="8" t="s">
        <v>204</v>
      </c>
      <c r="G10" s="18" t="s">
        <v>203</v>
      </c>
    </row>
    <row r="11" spans="1:7" ht="13.2" x14ac:dyDescent="0.25">
      <c r="A11" s="8" t="s">
        <v>205</v>
      </c>
    </row>
    <row r="12" spans="1:7" ht="13.2" x14ac:dyDescent="0.25">
      <c r="D12" s="6" t="s">
        <v>11</v>
      </c>
      <c r="G12" s="6" t="s">
        <v>206</v>
      </c>
    </row>
    <row r="13" spans="1:7" ht="13.2" x14ac:dyDescent="0.25">
      <c r="A13" s="6" t="s">
        <v>10</v>
      </c>
      <c r="D13" s="6"/>
      <c r="G13" s="6"/>
    </row>
    <row r="14" spans="1:7" ht="13.2" x14ac:dyDescent="0.25">
      <c r="A14" s="6"/>
      <c r="D14" s="6" t="s">
        <v>207</v>
      </c>
      <c r="G14" s="6" t="s">
        <v>208</v>
      </c>
    </row>
    <row r="15" spans="1:7" ht="13.2" x14ac:dyDescent="0.25">
      <c r="A15" s="6" t="s">
        <v>209</v>
      </c>
      <c r="D15" s="6" t="s">
        <v>194</v>
      </c>
      <c r="G15" s="6"/>
    </row>
    <row r="16" spans="1:7" ht="13.2" x14ac:dyDescent="0.25">
      <c r="A16" s="6"/>
      <c r="D16" s="8" t="s">
        <v>210</v>
      </c>
      <c r="G16" s="6" t="s">
        <v>194</v>
      </c>
    </row>
    <row r="17" spans="1:7" ht="13.2" x14ac:dyDescent="0.25">
      <c r="A17" s="6" t="s">
        <v>194</v>
      </c>
      <c r="D17" s="18" t="s">
        <v>211</v>
      </c>
      <c r="G17" s="8" t="s">
        <v>196</v>
      </c>
    </row>
    <row r="18" spans="1:7" ht="13.2" x14ac:dyDescent="0.25">
      <c r="A18" s="8" t="s">
        <v>210</v>
      </c>
      <c r="D18" s="8" t="s">
        <v>212</v>
      </c>
      <c r="G18" s="8" t="s">
        <v>205</v>
      </c>
    </row>
    <row r="19" spans="1:7" ht="13.2" x14ac:dyDescent="0.25">
      <c r="A19" s="8" t="s">
        <v>195</v>
      </c>
      <c r="D19" s="8" t="s">
        <v>201</v>
      </c>
      <c r="G19" s="8" t="s">
        <v>213</v>
      </c>
    </row>
    <row r="20" spans="1:7" ht="13.2" x14ac:dyDescent="0.25">
      <c r="A20" s="8" t="s">
        <v>214</v>
      </c>
    </row>
    <row r="21" spans="1:7" ht="13.2" x14ac:dyDescent="0.25">
      <c r="A21" s="6"/>
      <c r="D21" s="6" t="s">
        <v>13</v>
      </c>
    </row>
    <row r="22" spans="1:7" ht="13.2" x14ac:dyDescent="0.25">
      <c r="A22" s="6" t="s">
        <v>12</v>
      </c>
      <c r="D22" s="6"/>
    </row>
    <row r="23" spans="1:7" ht="13.2" x14ac:dyDescent="0.25">
      <c r="A23" s="6"/>
      <c r="D23" s="6" t="s">
        <v>215</v>
      </c>
    </row>
    <row r="24" spans="1:7" ht="13.2" x14ac:dyDescent="0.25">
      <c r="A24" s="6" t="s">
        <v>216</v>
      </c>
      <c r="D24" s="6" t="s">
        <v>194</v>
      </c>
    </row>
    <row r="25" spans="1:7" ht="13.2" x14ac:dyDescent="0.25">
      <c r="A25" s="6"/>
      <c r="D25" s="8" t="s">
        <v>195</v>
      </c>
    </row>
    <row r="26" spans="1:7" ht="13.2" x14ac:dyDescent="0.25">
      <c r="A26" s="6" t="s">
        <v>194</v>
      </c>
      <c r="D26" s="18" t="s">
        <v>217</v>
      </c>
    </row>
    <row r="27" spans="1:7" ht="13.2" x14ac:dyDescent="0.25">
      <c r="A27" s="18" t="s">
        <v>203</v>
      </c>
      <c r="D27" s="8" t="s">
        <v>218</v>
      </c>
    </row>
    <row r="28" spans="1:7" ht="13.2" x14ac:dyDescent="0.25">
      <c r="A28" s="18" t="s">
        <v>219</v>
      </c>
      <c r="D28" s="8" t="s">
        <v>220</v>
      </c>
    </row>
    <row r="29" spans="1:7" ht="13.2" x14ac:dyDescent="0.25">
      <c r="A29" s="8" t="s">
        <v>199</v>
      </c>
    </row>
    <row r="30" spans="1:7" ht="13.2" x14ac:dyDescent="0.25">
      <c r="D30" s="6" t="s">
        <v>15</v>
      </c>
    </row>
    <row r="31" spans="1:7" ht="13.2" x14ac:dyDescent="0.25">
      <c r="A31" s="6" t="s">
        <v>14</v>
      </c>
      <c r="D31" s="6"/>
    </row>
    <row r="32" spans="1:7" ht="13.2" x14ac:dyDescent="0.25">
      <c r="A32" s="6"/>
      <c r="D32" s="6" t="s">
        <v>221</v>
      </c>
    </row>
    <row r="33" spans="1:4" ht="13.2" x14ac:dyDescent="0.25">
      <c r="A33" s="6" t="s">
        <v>222</v>
      </c>
      <c r="D33" s="6" t="s">
        <v>194</v>
      </c>
    </row>
    <row r="34" spans="1:4" ht="13.2" x14ac:dyDescent="0.25">
      <c r="A34" s="6"/>
      <c r="D34" s="8" t="s">
        <v>195</v>
      </c>
    </row>
    <row r="35" spans="1:4" ht="13.2" x14ac:dyDescent="0.25">
      <c r="A35" s="6" t="s">
        <v>194</v>
      </c>
      <c r="D35" s="8" t="s">
        <v>223</v>
      </c>
    </row>
    <row r="36" spans="1:4" ht="13.2" x14ac:dyDescent="0.25">
      <c r="A36" s="8" t="s">
        <v>195</v>
      </c>
      <c r="D36" s="8" t="s">
        <v>224</v>
      </c>
    </row>
    <row r="37" spans="1:4" ht="13.2" x14ac:dyDescent="0.25">
      <c r="A37" s="18" t="s">
        <v>225</v>
      </c>
      <c r="D37" s="8" t="s">
        <v>218</v>
      </c>
    </row>
    <row r="38" spans="1:4" ht="13.2" x14ac:dyDescent="0.25">
      <c r="A38" s="18" t="s">
        <v>226</v>
      </c>
      <c r="D38" s="6"/>
    </row>
    <row r="39" spans="1:4" ht="17.399999999999999" x14ac:dyDescent="0.3">
      <c r="D39" s="19" t="s">
        <v>227</v>
      </c>
    </row>
    <row r="40" spans="1:4" ht="17.399999999999999" x14ac:dyDescent="0.3">
      <c r="A40" s="19" t="s">
        <v>227</v>
      </c>
      <c r="D40" s="6" t="s">
        <v>18</v>
      </c>
    </row>
    <row r="41" spans="1:4" ht="13.2" x14ac:dyDescent="0.25">
      <c r="A41" s="6" t="s">
        <v>17</v>
      </c>
      <c r="D41" s="6"/>
    </row>
    <row r="42" spans="1:4" ht="13.2" x14ac:dyDescent="0.25">
      <c r="A42" s="6"/>
      <c r="D42" s="6" t="s">
        <v>228</v>
      </c>
    </row>
    <row r="43" spans="1:4" ht="13.2" x14ac:dyDescent="0.25">
      <c r="A43" s="6" t="s">
        <v>229</v>
      </c>
      <c r="D43" s="6" t="s">
        <v>194</v>
      </c>
    </row>
    <row r="44" spans="1:4" ht="13.2" x14ac:dyDescent="0.25">
      <c r="A44" s="6"/>
      <c r="D44" s="8" t="s">
        <v>195</v>
      </c>
    </row>
    <row r="45" spans="1:4" ht="13.2" x14ac:dyDescent="0.25">
      <c r="A45" s="6" t="s">
        <v>194</v>
      </c>
      <c r="D45" s="18" t="s">
        <v>211</v>
      </c>
    </row>
    <row r="46" spans="1:4" ht="13.2" x14ac:dyDescent="0.25">
      <c r="A46" s="18" t="s">
        <v>230</v>
      </c>
      <c r="D46" s="18" t="s">
        <v>217</v>
      </c>
    </row>
    <row r="47" spans="1:4" ht="13.2" x14ac:dyDescent="0.25">
      <c r="A47" s="18" t="s">
        <v>231</v>
      </c>
      <c r="D47" s="18" t="s">
        <v>231</v>
      </c>
    </row>
    <row r="48" spans="1:4" ht="13.2" x14ac:dyDescent="0.25">
      <c r="A48" s="18" t="s">
        <v>204</v>
      </c>
      <c r="D48" s="8" t="s">
        <v>218</v>
      </c>
    </row>
    <row r="49" spans="1:4" ht="13.2" x14ac:dyDescent="0.25">
      <c r="A49" s="18" t="s">
        <v>232</v>
      </c>
    </row>
    <row r="50" spans="1:4" ht="13.2" x14ac:dyDescent="0.25">
      <c r="A50" s="8"/>
      <c r="D50" s="6" t="s">
        <v>20</v>
      </c>
    </row>
    <row r="51" spans="1:4" ht="13.2" x14ac:dyDescent="0.25">
      <c r="A51" s="6" t="s">
        <v>76</v>
      </c>
    </row>
    <row r="52" spans="1:4" ht="13.2" x14ac:dyDescent="0.25">
      <c r="A52" s="6"/>
      <c r="D52" s="6" t="s">
        <v>233</v>
      </c>
    </row>
    <row r="53" spans="1:4" ht="13.2" x14ac:dyDescent="0.25">
      <c r="A53" s="6" t="s">
        <v>234</v>
      </c>
      <c r="D53" s="6" t="s">
        <v>194</v>
      </c>
    </row>
    <row r="54" spans="1:4" ht="13.2" x14ac:dyDescent="0.25">
      <c r="A54" s="6"/>
      <c r="D54" s="18" t="s">
        <v>231</v>
      </c>
    </row>
    <row r="55" spans="1:4" ht="13.2" x14ac:dyDescent="0.25">
      <c r="A55" s="6" t="s">
        <v>194</v>
      </c>
      <c r="D55" s="18" t="s">
        <v>211</v>
      </c>
    </row>
    <row r="56" spans="1:4" ht="13.2" x14ac:dyDescent="0.25">
      <c r="A56" s="18" t="s">
        <v>235</v>
      </c>
      <c r="D56" s="18" t="s">
        <v>231</v>
      </c>
    </row>
    <row r="57" spans="1:4" ht="13.2" x14ac:dyDescent="0.25">
      <c r="A57" s="18" t="s">
        <v>236</v>
      </c>
    </row>
    <row r="58" spans="1:4" ht="13.2" x14ac:dyDescent="0.25">
      <c r="A58" s="18" t="s">
        <v>232</v>
      </c>
      <c r="D58" s="6" t="s">
        <v>22</v>
      </c>
    </row>
    <row r="59" spans="1:4" ht="13.2" x14ac:dyDescent="0.25">
      <c r="A59" s="6"/>
      <c r="D59" s="6"/>
    </row>
    <row r="60" spans="1:4" ht="13.2" x14ac:dyDescent="0.25">
      <c r="A60" s="6" t="s">
        <v>184</v>
      </c>
      <c r="D60" s="6" t="s">
        <v>237</v>
      </c>
    </row>
    <row r="61" spans="1:4" ht="13.2" x14ac:dyDescent="0.25">
      <c r="A61" s="6"/>
      <c r="D61" s="6" t="s">
        <v>194</v>
      </c>
    </row>
    <row r="62" spans="1:4" ht="13.2" x14ac:dyDescent="0.25">
      <c r="A62" s="6" t="s">
        <v>238</v>
      </c>
      <c r="D62" s="8" t="s">
        <v>239</v>
      </c>
    </row>
    <row r="63" spans="1:4" ht="13.2" x14ac:dyDescent="0.25">
      <c r="A63" s="6"/>
      <c r="D63" s="18" t="s">
        <v>217</v>
      </c>
    </row>
    <row r="64" spans="1:4" ht="13.2" x14ac:dyDescent="0.25">
      <c r="A64" s="6" t="s">
        <v>194</v>
      </c>
      <c r="D64" s="18" t="s">
        <v>211</v>
      </c>
    </row>
    <row r="65" spans="1:26" ht="13.2" x14ac:dyDescent="0.25">
      <c r="A65" s="18" t="s">
        <v>211</v>
      </c>
      <c r="D65" s="8" t="s">
        <v>195</v>
      </c>
    </row>
    <row r="66" spans="1:26" ht="13.2" x14ac:dyDescent="0.25">
      <c r="A66" s="18" t="s">
        <v>217</v>
      </c>
    </row>
    <row r="67" spans="1:26" ht="13.2" x14ac:dyDescent="0.25">
      <c r="A67" s="18" t="s">
        <v>240</v>
      </c>
      <c r="D67" s="6" t="s">
        <v>24</v>
      </c>
    </row>
    <row r="68" spans="1:26" ht="13.2" x14ac:dyDescent="0.25">
      <c r="A68" s="6" t="s">
        <v>241</v>
      </c>
      <c r="D68" s="6"/>
    </row>
    <row r="69" spans="1:26" ht="13.2" x14ac:dyDescent="0.25">
      <c r="A69" s="6"/>
      <c r="D69" s="6" t="s">
        <v>242</v>
      </c>
    </row>
    <row r="70" spans="1:26" ht="13.2" x14ac:dyDescent="0.25">
      <c r="A70" s="6" t="s">
        <v>185</v>
      </c>
      <c r="D70" s="6" t="s">
        <v>194</v>
      </c>
    </row>
    <row r="71" spans="1:26" ht="13.2" x14ac:dyDescent="0.25">
      <c r="A71" s="6"/>
      <c r="D71" s="18" t="s">
        <v>211</v>
      </c>
    </row>
    <row r="72" spans="1:26" ht="13.2" x14ac:dyDescent="0.25">
      <c r="A72" s="6" t="s">
        <v>243</v>
      </c>
      <c r="D72" s="8" t="s">
        <v>195</v>
      </c>
    </row>
    <row r="73" spans="1:26" ht="13.2" x14ac:dyDescent="0.25">
      <c r="A73" s="6"/>
      <c r="D73" s="8" t="s">
        <v>218</v>
      </c>
    </row>
    <row r="74" spans="1:26" ht="13.2" x14ac:dyDescent="0.25">
      <c r="A74" s="6" t="s">
        <v>194</v>
      </c>
      <c r="D74" s="8" t="s">
        <v>223</v>
      </c>
    </row>
    <row r="75" spans="1:26" ht="13.2" x14ac:dyDescent="0.25">
      <c r="A75" s="18" t="s">
        <v>244</v>
      </c>
    </row>
    <row r="76" spans="1:26" ht="13.2" x14ac:dyDescent="0.25">
      <c r="A76" s="18" t="s">
        <v>217</v>
      </c>
      <c r="D76" s="6" t="s">
        <v>26</v>
      </c>
    </row>
    <row r="77" spans="1:26" ht="19.5" customHeight="1" x14ac:dyDescent="0.25">
      <c r="A77" s="18" t="s">
        <v>231</v>
      </c>
      <c r="D77" s="6"/>
    </row>
    <row r="78" spans="1:26" ht="13.2" x14ac:dyDescent="0.25">
      <c r="B78" s="18"/>
      <c r="C78" s="18"/>
      <c r="D78" s="6" t="s">
        <v>245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2" x14ac:dyDescent="0.25">
      <c r="A79" s="6"/>
      <c r="D79" s="6" t="s">
        <v>194</v>
      </c>
    </row>
    <row r="80" spans="1:26" ht="13.2" x14ac:dyDescent="0.25">
      <c r="A80" s="6" t="s">
        <v>25</v>
      </c>
      <c r="D80" s="18" t="s">
        <v>211</v>
      </c>
    </row>
    <row r="81" spans="1:26" ht="13.2" x14ac:dyDescent="0.25">
      <c r="A81" s="6"/>
      <c r="D81" s="18" t="s">
        <v>217</v>
      </c>
    </row>
    <row r="82" spans="1:26" ht="13.2" x14ac:dyDescent="0.25">
      <c r="A82" s="6" t="s">
        <v>246</v>
      </c>
      <c r="D82" s="8" t="s">
        <v>218</v>
      </c>
    </row>
    <row r="83" spans="1:26" ht="13.2" x14ac:dyDescent="0.25">
      <c r="A83" s="6"/>
      <c r="D83" s="8" t="s">
        <v>247</v>
      </c>
    </row>
    <row r="84" spans="1:26" ht="13.2" x14ac:dyDescent="0.25">
      <c r="A84" s="6" t="s">
        <v>194</v>
      </c>
    </row>
    <row r="85" spans="1:26" ht="13.2" x14ac:dyDescent="0.25">
      <c r="A85" s="8" t="s">
        <v>248</v>
      </c>
      <c r="D85" s="6" t="s">
        <v>28</v>
      </c>
    </row>
    <row r="86" spans="1:26" ht="13.2" x14ac:dyDescent="0.25">
      <c r="A86" s="8" t="s">
        <v>249</v>
      </c>
      <c r="D86" s="6"/>
    </row>
    <row r="87" spans="1:26" ht="13.2" x14ac:dyDescent="0.25">
      <c r="A87" s="8" t="s">
        <v>204</v>
      </c>
      <c r="D87" s="6" t="s">
        <v>250</v>
      </c>
    </row>
    <row r="88" spans="1:26" ht="13.2" x14ac:dyDescent="0.25">
      <c r="A88" s="18" t="s">
        <v>231</v>
      </c>
      <c r="B88" s="18"/>
      <c r="C88" s="18"/>
      <c r="D88" s="6" t="s">
        <v>194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2" x14ac:dyDescent="0.25">
      <c r="D89" s="18" t="s">
        <v>217</v>
      </c>
    </row>
    <row r="90" spans="1:26" ht="13.2" x14ac:dyDescent="0.25">
      <c r="A90" s="6" t="s">
        <v>27</v>
      </c>
      <c r="D90" s="8" t="s">
        <v>212</v>
      </c>
    </row>
    <row r="91" spans="1:26" ht="13.2" x14ac:dyDescent="0.25">
      <c r="A91" s="6"/>
      <c r="D91" s="8" t="s">
        <v>251</v>
      </c>
    </row>
    <row r="92" spans="1:26" ht="13.2" x14ac:dyDescent="0.25">
      <c r="A92" s="6" t="s">
        <v>252</v>
      </c>
      <c r="D92" s="6"/>
    </row>
    <row r="93" spans="1:26" ht="13.2" x14ac:dyDescent="0.25">
      <c r="A93" s="6"/>
      <c r="D93" s="6" t="s">
        <v>253</v>
      </c>
    </row>
    <row r="94" spans="1:26" ht="13.2" x14ac:dyDescent="0.25">
      <c r="A94" s="6" t="s">
        <v>194</v>
      </c>
      <c r="D94" s="6"/>
    </row>
    <row r="95" spans="1:26" ht="13.2" x14ac:dyDescent="0.25">
      <c r="A95" s="8" t="s">
        <v>244</v>
      </c>
      <c r="D95" s="6" t="s">
        <v>254</v>
      </c>
    </row>
    <row r="96" spans="1:26" ht="13.2" x14ac:dyDescent="0.25">
      <c r="A96" s="8" t="s">
        <v>255</v>
      </c>
      <c r="D96" s="6" t="s">
        <v>194</v>
      </c>
    </row>
    <row r="97" spans="1:26" ht="13.2" x14ac:dyDescent="0.25">
      <c r="A97" s="8" t="s">
        <v>235</v>
      </c>
      <c r="D97" s="18" t="s">
        <v>211</v>
      </c>
    </row>
    <row r="98" spans="1:26" ht="13.2" x14ac:dyDescent="0.25">
      <c r="A98" s="18" t="s">
        <v>231</v>
      </c>
      <c r="B98" s="18"/>
      <c r="C98" s="18"/>
      <c r="D98" s="8" t="s">
        <v>212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2" x14ac:dyDescent="0.25">
      <c r="A99" s="6"/>
      <c r="D99" s="8" t="s">
        <v>210</v>
      </c>
    </row>
    <row r="100" spans="1:26" ht="13.2" x14ac:dyDescent="0.25">
      <c r="A100" s="6" t="s">
        <v>28</v>
      </c>
      <c r="D100" s="6"/>
    </row>
    <row r="101" spans="1:26" ht="13.2" x14ac:dyDescent="0.25">
      <c r="A101" s="6"/>
    </row>
    <row r="102" spans="1:26" ht="13.2" x14ac:dyDescent="0.25">
      <c r="A102" s="6" t="s">
        <v>256</v>
      </c>
      <c r="D102" s="6" t="s">
        <v>31</v>
      </c>
    </row>
    <row r="103" spans="1:26" ht="13.2" x14ac:dyDescent="0.25">
      <c r="A103" s="6"/>
      <c r="D103" s="6"/>
    </row>
    <row r="104" spans="1:26" ht="13.2" x14ac:dyDescent="0.25">
      <c r="A104" s="6" t="s">
        <v>194</v>
      </c>
      <c r="D104" s="6" t="s">
        <v>257</v>
      </c>
    </row>
    <row r="105" spans="1:26" ht="13.2" x14ac:dyDescent="0.25">
      <c r="A105" s="8" t="s">
        <v>248</v>
      </c>
      <c r="D105" s="6" t="s">
        <v>194</v>
      </c>
    </row>
    <row r="106" spans="1:26" ht="13.2" x14ac:dyDescent="0.25">
      <c r="A106" s="8" t="s">
        <v>251</v>
      </c>
      <c r="D106" s="8" t="s">
        <v>195</v>
      </c>
    </row>
    <row r="107" spans="1:26" ht="13.2" x14ac:dyDescent="0.25">
      <c r="A107" s="8" t="s">
        <v>258</v>
      </c>
      <c r="D107" s="8" t="s">
        <v>198</v>
      </c>
    </row>
    <row r="108" spans="1:26" ht="13.2" x14ac:dyDescent="0.25">
      <c r="A108" s="6"/>
      <c r="D108" s="8" t="s">
        <v>201</v>
      </c>
    </row>
    <row r="109" spans="1:26" ht="13.2" x14ac:dyDescent="0.25">
      <c r="A109" s="6" t="s">
        <v>30</v>
      </c>
      <c r="D109" s="8" t="s">
        <v>220</v>
      </c>
    </row>
    <row r="110" spans="1:26" ht="13.2" x14ac:dyDescent="0.25">
      <c r="A110" s="6"/>
    </row>
    <row r="111" spans="1:26" ht="13.2" x14ac:dyDescent="0.25">
      <c r="A111" s="6" t="s">
        <v>259</v>
      </c>
      <c r="D111" s="6" t="s">
        <v>188</v>
      </c>
    </row>
    <row r="112" spans="1:26" ht="13.2" x14ac:dyDescent="0.25">
      <c r="A112" s="6"/>
      <c r="D112" s="6"/>
    </row>
    <row r="113" spans="1:26" ht="13.2" x14ac:dyDescent="0.25">
      <c r="A113" s="6" t="s">
        <v>194</v>
      </c>
      <c r="D113" s="6" t="s">
        <v>260</v>
      </c>
    </row>
    <row r="114" spans="1:26" ht="13.2" x14ac:dyDescent="0.25">
      <c r="A114" s="8" t="s">
        <v>244</v>
      </c>
      <c r="D114" s="6" t="s">
        <v>194</v>
      </c>
    </row>
    <row r="115" spans="1:26" ht="13.2" x14ac:dyDescent="0.25">
      <c r="A115" s="8" t="s">
        <v>261</v>
      </c>
      <c r="D115" s="18" t="s">
        <v>230</v>
      </c>
    </row>
    <row r="116" spans="1:26" ht="13.2" x14ac:dyDescent="0.25">
      <c r="A116" s="8" t="s">
        <v>204</v>
      </c>
      <c r="D116" s="18" t="s">
        <v>231</v>
      </c>
    </row>
    <row r="117" spans="1:26" ht="13.2" x14ac:dyDescent="0.25">
      <c r="D117" s="8" t="s">
        <v>218</v>
      </c>
    </row>
    <row r="118" spans="1:26" ht="13.2" x14ac:dyDescent="0.25">
      <c r="A118" s="6" t="s">
        <v>186</v>
      </c>
    </row>
    <row r="119" spans="1:26" ht="17.399999999999999" x14ac:dyDescent="0.3">
      <c r="A119" s="6"/>
      <c r="D119" s="19" t="s">
        <v>34</v>
      </c>
    </row>
    <row r="120" spans="1:26" ht="13.2" x14ac:dyDescent="0.25">
      <c r="A120" s="6" t="s">
        <v>262</v>
      </c>
      <c r="D120" s="6" t="s">
        <v>93</v>
      </c>
    </row>
    <row r="121" spans="1:26" ht="13.2" x14ac:dyDescent="0.25">
      <c r="A121" s="6"/>
      <c r="D121" s="6"/>
    </row>
    <row r="122" spans="1:26" ht="13.2" x14ac:dyDescent="0.25">
      <c r="A122" s="6" t="s">
        <v>194</v>
      </c>
      <c r="D122" s="6" t="s">
        <v>263</v>
      </c>
    </row>
    <row r="123" spans="1:26" ht="13.2" x14ac:dyDescent="0.25">
      <c r="A123" s="8" t="s">
        <v>244</v>
      </c>
      <c r="D123" s="6" t="s">
        <v>194</v>
      </c>
    </row>
    <row r="124" spans="1:26" ht="13.2" x14ac:dyDescent="0.25">
      <c r="A124" s="8" t="s">
        <v>217</v>
      </c>
      <c r="D124" s="8" t="s">
        <v>264</v>
      </c>
    </row>
    <row r="125" spans="1:26" ht="13.2" x14ac:dyDescent="0.25">
      <c r="A125" s="18" t="s">
        <v>232</v>
      </c>
      <c r="B125" s="18"/>
      <c r="C125" s="18"/>
      <c r="D125" s="8" t="s">
        <v>203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2" x14ac:dyDescent="0.25">
      <c r="A126" s="8" t="s">
        <v>235</v>
      </c>
      <c r="D126" s="8" t="s">
        <v>195</v>
      </c>
    </row>
    <row r="128" spans="1:26" ht="17.399999999999999" x14ac:dyDescent="0.3">
      <c r="A128" s="19" t="s">
        <v>34</v>
      </c>
      <c r="D128" s="6" t="s">
        <v>40</v>
      </c>
    </row>
    <row r="129" spans="1:4" ht="13.2" x14ac:dyDescent="0.25">
      <c r="A129" s="6" t="s">
        <v>35</v>
      </c>
      <c r="D129" s="6"/>
    </row>
    <row r="130" spans="1:4" ht="13.2" x14ac:dyDescent="0.25">
      <c r="A130" s="6"/>
      <c r="D130" s="6" t="s">
        <v>265</v>
      </c>
    </row>
    <row r="131" spans="1:4" ht="13.2" x14ac:dyDescent="0.25">
      <c r="A131" s="6" t="s">
        <v>266</v>
      </c>
      <c r="D131" s="6" t="s">
        <v>194</v>
      </c>
    </row>
    <row r="132" spans="1:4" ht="13.2" x14ac:dyDescent="0.25">
      <c r="A132" s="6"/>
      <c r="D132" s="8" t="s">
        <v>267</v>
      </c>
    </row>
    <row r="133" spans="1:4" ht="13.2" x14ac:dyDescent="0.25">
      <c r="A133" s="6" t="s">
        <v>194</v>
      </c>
      <c r="D133" s="8" t="s">
        <v>268</v>
      </c>
    </row>
    <row r="134" spans="1:4" ht="13.2" x14ac:dyDescent="0.25">
      <c r="A134" s="8" t="s">
        <v>203</v>
      </c>
      <c r="D134" s="8" t="s">
        <v>269</v>
      </c>
    </row>
    <row r="135" spans="1:4" ht="13.2" x14ac:dyDescent="0.25">
      <c r="A135" s="8" t="s">
        <v>270</v>
      </c>
      <c r="D135" s="8"/>
    </row>
    <row r="136" spans="1:4" ht="13.2" x14ac:dyDescent="0.25">
      <c r="A136" s="8" t="s">
        <v>264</v>
      </c>
    </row>
    <row r="137" spans="1:4" ht="13.2" x14ac:dyDescent="0.25">
      <c r="D137" s="6" t="s">
        <v>42</v>
      </c>
    </row>
    <row r="138" spans="1:4" ht="13.2" x14ac:dyDescent="0.25">
      <c r="A138" s="6" t="s">
        <v>37</v>
      </c>
      <c r="D138" s="6"/>
    </row>
    <row r="139" spans="1:4" ht="13.2" x14ac:dyDescent="0.25">
      <c r="A139" s="6"/>
      <c r="D139" s="6" t="s">
        <v>271</v>
      </c>
    </row>
    <row r="140" spans="1:4" ht="13.2" x14ac:dyDescent="0.25">
      <c r="A140" s="6" t="s">
        <v>272</v>
      </c>
      <c r="D140" s="6" t="s">
        <v>194</v>
      </c>
    </row>
    <row r="141" spans="1:4" ht="13.2" x14ac:dyDescent="0.25">
      <c r="A141" s="6"/>
      <c r="D141" s="8" t="s">
        <v>273</v>
      </c>
    </row>
    <row r="142" spans="1:4" ht="13.2" x14ac:dyDescent="0.25">
      <c r="A142" s="6" t="s">
        <v>194</v>
      </c>
      <c r="D142" s="8" t="s">
        <v>274</v>
      </c>
    </row>
    <row r="143" spans="1:4" ht="13.2" x14ac:dyDescent="0.25">
      <c r="A143" s="8" t="s">
        <v>205</v>
      </c>
    </row>
    <row r="144" spans="1:4" ht="13.2" x14ac:dyDescent="0.25">
      <c r="A144" s="8" t="s">
        <v>275</v>
      </c>
      <c r="D144" s="6" t="s">
        <v>44</v>
      </c>
    </row>
    <row r="145" spans="1:4" ht="13.2" x14ac:dyDescent="0.25">
      <c r="A145" s="8" t="s">
        <v>264</v>
      </c>
      <c r="D145" s="6"/>
    </row>
    <row r="146" spans="1:4" ht="13.2" x14ac:dyDescent="0.25">
      <c r="D146" s="6" t="s">
        <v>276</v>
      </c>
    </row>
    <row r="147" spans="1:4" ht="13.2" x14ac:dyDescent="0.25">
      <c r="A147" s="6" t="s">
        <v>39</v>
      </c>
      <c r="D147" s="6" t="s">
        <v>194</v>
      </c>
    </row>
    <row r="148" spans="1:4" ht="13.2" x14ac:dyDescent="0.25">
      <c r="A148" s="6"/>
      <c r="D148" s="8" t="s">
        <v>277</v>
      </c>
    </row>
    <row r="149" spans="1:4" ht="13.2" x14ac:dyDescent="0.25">
      <c r="A149" s="6" t="s">
        <v>278</v>
      </c>
      <c r="D149" s="8" t="s">
        <v>269</v>
      </c>
    </row>
    <row r="150" spans="1:4" ht="13.2" x14ac:dyDescent="0.25">
      <c r="A150" s="6"/>
    </row>
    <row r="151" spans="1:4" ht="13.2" x14ac:dyDescent="0.25">
      <c r="A151" s="6" t="s">
        <v>194</v>
      </c>
    </row>
    <row r="152" spans="1:4" ht="13.2" x14ac:dyDescent="0.25">
      <c r="A152" s="8" t="s">
        <v>203</v>
      </c>
    </row>
    <row r="153" spans="1:4" ht="13.2" x14ac:dyDescent="0.25">
      <c r="A153" s="8" t="s">
        <v>279</v>
      </c>
      <c r="D153" s="8"/>
    </row>
    <row r="154" spans="1:4" ht="13.2" x14ac:dyDescent="0.25">
      <c r="A154" s="8" t="s">
        <v>280</v>
      </c>
    </row>
    <row r="156" spans="1:4" ht="13.2" x14ac:dyDescent="0.25">
      <c r="A156" s="6" t="s">
        <v>41</v>
      </c>
    </row>
    <row r="157" spans="1:4" ht="13.2" x14ac:dyDescent="0.25">
      <c r="A157" s="6"/>
    </row>
    <row r="158" spans="1:4" ht="13.2" x14ac:dyDescent="0.25">
      <c r="A158" s="6" t="s">
        <v>281</v>
      </c>
    </row>
    <row r="159" spans="1:4" ht="13.2" x14ac:dyDescent="0.25">
      <c r="A159" s="6"/>
    </row>
    <row r="160" spans="1:4" ht="13.2" x14ac:dyDescent="0.25">
      <c r="A160" s="6" t="s">
        <v>194</v>
      </c>
    </row>
    <row r="161" spans="1:1" ht="13.2" x14ac:dyDescent="0.25">
      <c r="A161" s="8" t="s">
        <v>282</v>
      </c>
    </row>
    <row r="162" spans="1:1" ht="13.2" x14ac:dyDescent="0.25">
      <c r="A162" s="8" t="s">
        <v>283</v>
      </c>
    </row>
    <row r="163" spans="1:1" ht="13.2" x14ac:dyDescent="0.25">
      <c r="A163" s="8" t="s">
        <v>210</v>
      </c>
    </row>
    <row r="165" spans="1:1" ht="13.2" x14ac:dyDescent="0.25">
      <c r="A165" s="6" t="s">
        <v>43</v>
      </c>
    </row>
    <row r="166" spans="1:1" ht="13.2" x14ac:dyDescent="0.25">
      <c r="A166" s="6"/>
    </row>
    <row r="167" spans="1:1" ht="13.2" x14ac:dyDescent="0.25">
      <c r="A167" s="6" t="s">
        <v>284</v>
      </c>
    </row>
    <row r="168" spans="1:1" ht="13.2" x14ac:dyDescent="0.25">
      <c r="A168" s="6"/>
    </row>
    <row r="169" spans="1:1" ht="13.2" x14ac:dyDescent="0.25">
      <c r="A169" s="6" t="s">
        <v>194</v>
      </c>
    </row>
    <row r="170" spans="1:1" ht="13.2" x14ac:dyDescent="0.25">
      <c r="A170" s="8" t="s">
        <v>268</v>
      </c>
    </row>
    <row r="171" spans="1:1" ht="13.2" x14ac:dyDescent="0.25">
      <c r="A171" s="8" t="s">
        <v>285</v>
      </c>
    </row>
    <row r="172" spans="1:1" ht="13.2" x14ac:dyDescent="0.25">
      <c r="A172" s="8" t="s">
        <v>283</v>
      </c>
    </row>
    <row r="174" spans="1:1" ht="13.2" x14ac:dyDescent="0.25">
      <c r="A17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Pricing </vt:lpstr>
      <vt:lpstr>P&amp;L Forecast</vt:lpstr>
      <vt:lpstr>Pricing with 20% PM</vt:lpstr>
      <vt:lpstr>Sheet1</vt:lpstr>
      <vt:lpstr>offers</vt:lpstr>
      <vt:lpstr>Employee food</vt:lpstr>
      <vt:lpstr>Uber Eats and PM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Nandajeewa, Sunethya</dc:creator>
  <cp:lastModifiedBy>Nandajeewa, Sunethya</cp:lastModifiedBy>
  <dcterms:created xsi:type="dcterms:W3CDTF">2026-05-02T17:24:03Z</dcterms:created>
  <dcterms:modified xsi:type="dcterms:W3CDTF">2026-05-02T17:24:04Z</dcterms:modified>
</cp:coreProperties>
</file>